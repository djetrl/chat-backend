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s44s\Desktop\Study\Основы экономики\Лабораторные\"/>
    </mc:Choice>
  </mc:AlternateContent>
  <xr:revisionPtr revIDLastSave="0" documentId="13_ncr:1_{029B34DC-CCB3-42CF-AB31-BCAC2C16DBA4}" xr6:coauthVersionLast="47" xr6:coauthVersionMax="47" xr10:uidLastSave="{00000000-0000-0000-0000-000000000000}"/>
  <bookViews>
    <workbookView xWindow="-108" yWindow="-108" windowWidth="23256" windowHeight="12456" xr2:uid="{C3F8607B-0FF7-4A73-A6A5-277D29FC8A3D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G4" i="1" a="1"/>
  <c r="H6" i="1" a="1"/>
  <c r="F7" i="1" a="1"/>
  <c r="D7" i="1" a="1"/>
  <c r="F6" i="1" a="1"/>
  <c r="D6" i="1" a="1"/>
  <c r="H5" i="1" a="1"/>
  <c r="H7" i="1" a="1"/>
  <c r="F5" i="1" a="1"/>
  <c r="D5" i="1" a="1"/>
  <c r="F4" i="1" a="1"/>
  <c r="C5" i="1" a="1"/>
  <c r="H4" i="1" a="1"/>
  <c r="G6" i="1" a="1"/>
  <c r="G7" i="1" a="1"/>
  <c r="E5" i="1" a="1"/>
  <c r="C6" i="1" a="1"/>
  <c r="C4" i="1" a="1"/>
  <c r="D4" i="1" a="1"/>
  <c r="G5" i="1" a="1"/>
  <c r="E6" i="1" a="1"/>
  <c r="C7" i="1" a="1"/>
  <c r="E4" i="1" a="1"/>
  <c r="E7" i="1" a="1"/>
  <c r="H7" i="1" l="1"/>
  <c r="H5" i="1"/>
  <c r="H6" i="1"/>
  <c r="H4" i="1"/>
  <c r="G5" i="1"/>
  <c r="G7" i="1"/>
  <c r="G6" i="1"/>
  <c r="G4" i="1"/>
  <c r="F5" i="1"/>
  <c r="F6" i="1"/>
  <c r="F7" i="1"/>
  <c r="F4" i="1"/>
  <c r="E7" i="1"/>
  <c r="E6" i="1"/>
  <c r="E5" i="1"/>
  <c r="E4" i="1"/>
  <c r="D5" i="1"/>
  <c r="D6" i="1"/>
  <c r="D7" i="1"/>
  <c r="D4" i="1"/>
  <c r="C7" i="1"/>
  <c r="C6" i="1"/>
  <c r="C5" i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<sst xmlns="http://schemas.openxmlformats.org/spreadsheetml/2006/main" count="17" uniqueCount="14">
  <si>
    <t>Налог с наследуемого и даримого имущества (квартира)</t>
  </si>
  <si>
    <t>Имущество</t>
  </si>
  <si>
    <t>Стоимость</t>
  </si>
  <si>
    <t>Дарение</t>
  </si>
  <si>
    <t>Наследство</t>
  </si>
  <si>
    <t>Другие</t>
  </si>
  <si>
    <t>2-я очередь</t>
  </si>
  <si>
    <t>1-я очередь</t>
  </si>
  <si>
    <t>(руб.)</t>
  </si>
  <si>
    <t>1 комн. Квартира</t>
  </si>
  <si>
    <t>2-х комн. Квартира</t>
  </si>
  <si>
    <t>3-х комн. Квартира</t>
  </si>
  <si>
    <t>Коттедж</t>
  </si>
  <si>
    <t>Минимальная заработная плата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</si>
</sst>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₽&quot;_-;\-* #,##0.00\ &quot;₽&quot;_-;_-* &quot;-&quot;??\ &quot;₽&quot;_-;_-@_-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/>
    <xf numFmtId="44" fontId="0" fillId="0" borderId="1" xfId="1" applyFont="1" applyBorder="1" applyAlignment="1"/>
    <xf numFmtId="44" fontId="0" fillId="0" borderId="1" xfId="1" applyFon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44" fontId="0" fillId="0" borderId="6" xfId="1" applyFont="1" applyBorder="1"/>
  </cellXfs>
  <cellStyles count="2">
    <cellStyle name="Денежный" xfId="1" builtinId="4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</a:t>
            </a:r>
            <a:r>
              <a:rPr lang="ru-RU" baseline="0"/>
              <a:t> для наследников первой очереди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Лист1!$C$2</c:f>
              <c:strCache>
                <c:ptCount val="1"/>
                <c:pt idx="0">
                  <c:v>Дарение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Лист1!$A$4:$A$7</c:f>
              <c:strCache>
                <c:ptCount val="4"/>
                <c:pt idx="0">
                  <c:v>1 комн. Квартира</c:v>
                </c:pt>
                <c:pt idx="1">
                  <c:v>2-х комн. Квартира</c:v>
                </c:pt>
                <c:pt idx="2">
                  <c:v>3-х комн. Квартира</c:v>
                </c:pt>
                <c:pt idx="3">
                  <c:v>Коттедж</c:v>
                </c:pt>
              </c:strCache>
            </c:strRef>
          </c:cat>
          <c:val>
            <c:numRef>
              <c:f>Лист1!$C$4:$C$7</c:f>
              <c:numCache>
                <c:formatCode>_("₽"* #,##0.00_);_("₽"* \(#,##0.00\);_("₽"* "-"??_);_(@_)</c:formatCode>
                <c:ptCount val="4"/>
                <c:pt idx="0">
                  <c:v>150000</c:v>
                </c:pt>
                <c:pt idx="1">
                  <c:v>157256.25</c:v>
                </c:pt>
                <c:pt idx="2">
                  <c:v>464512.5</c:v>
                </c:pt>
                <c:pt idx="3">
                  <c:v>357256.25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E-4D12-9770-141C62AB6B29}"/>
            </c:ext>
          </c:extLst>
        </c:ser>
        <c:ser>
          <c:idx val="1"/>
          <c:order val="1"/>
          <c:tx>
            <c:strRef>
              <c:f>Лист1!$F$2</c:f>
              <c:strCache>
                <c:ptCount val="1"/>
                <c:pt idx="0">
                  <c:v>Наследство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Лист1!$A$4:$A$7</c:f>
              <c:strCache>
                <c:ptCount val="4"/>
                <c:pt idx="0">
                  <c:v>1 комн. Квартира</c:v>
                </c:pt>
                <c:pt idx="1">
                  <c:v>2-х комн. Квартира</c:v>
                </c:pt>
                <c:pt idx="2">
                  <c:v>3-х комн. Квартира</c:v>
                </c:pt>
                <c:pt idx="3">
                  <c:v>Коттедж</c:v>
                </c:pt>
              </c:strCache>
            </c:strRef>
          </c:cat>
          <c:val>
            <c:numRef>
              <c:f>Лист1!$F$4:$F$7</c:f>
              <c:numCache>
                <c:formatCode>_("₽"* #,##0.00_);_("₽"* \(#,##0.00\);_("₽"* "-"??_);_(@_)</c:formatCode>
                <c:ptCount val="4"/>
                <c:pt idx="0">
                  <c:v>83601</c:v>
                </c:pt>
                <c:pt idx="1">
                  <c:v>297471</c:v>
                </c:pt>
                <c:pt idx="2">
                  <c:v>633276</c:v>
                </c:pt>
                <c:pt idx="3">
                  <c:v>517471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EE-4D12-9770-141C62AB6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50776592"/>
        <c:axId val="1950785744"/>
        <c:axId val="0"/>
      </c:bar3DChart>
      <c:catAx>
        <c:axId val="195077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50785744"/>
        <c:crosses val="autoZero"/>
        <c:auto val="1"/>
        <c:lblAlgn val="ctr"/>
        <c:lblOffset val="100"/>
        <c:noMultiLvlLbl val="0"/>
      </c:catAx>
      <c:valAx>
        <c:axId val="195078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₽&quot;* #,##0.00_);_(&quot;₽&quot;* \(#,##0.00\);_(&quot;₽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5077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для наследников второй очереди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Лист1!$D$2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Лист1!$A$4:$A$7</c:f>
              <c:strCache>
                <c:ptCount val="4"/>
                <c:pt idx="0">
                  <c:v>1 комн. Квартира</c:v>
                </c:pt>
                <c:pt idx="1">
                  <c:v>2-х комн. Квартира</c:v>
                </c:pt>
                <c:pt idx="2">
                  <c:v>3-х комн. Квартира</c:v>
                </c:pt>
                <c:pt idx="3">
                  <c:v>Коттедж</c:v>
                </c:pt>
              </c:strCache>
            </c:strRef>
          </c:cat>
          <c:val>
            <c:numRef>
              <c:f>Лист1!$D$4:$D$7</c:f>
              <c:numCache>
                <c:formatCode>_("₽"* #,##0.00_);_("₽"* \(#,##0.00\);_("₽"* "-"??_);_(@_)</c:formatCode>
                <c:ptCount val="4"/>
                <c:pt idx="0">
                  <c:v>300000</c:v>
                </c:pt>
                <c:pt idx="1">
                  <c:v>314512.5</c:v>
                </c:pt>
                <c:pt idx="2">
                  <c:v>824850</c:v>
                </c:pt>
                <c:pt idx="3">
                  <c:v>714512.5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19-4C23-A266-07E28E4ED8F9}"/>
            </c:ext>
          </c:extLst>
        </c:ser>
        <c:ser>
          <c:idx val="1"/>
          <c:order val="1"/>
          <c:tx>
            <c:strRef>
              <c:f>Лист1!$G$2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Лист1!$A$4:$A$7</c:f>
              <c:strCache>
                <c:ptCount val="4"/>
                <c:pt idx="0">
                  <c:v>1 комн. Квартира</c:v>
                </c:pt>
                <c:pt idx="1">
                  <c:v>2-х комн. Квартира</c:v>
                </c:pt>
                <c:pt idx="2">
                  <c:v>3-х комн. Квартира</c:v>
                </c:pt>
                <c:pt idx="3">
                  <c:v>Коттедж</c:v>
                </c:pt>
              </c:strCache>
            </c:strRef>
          </c:cat>
          <c:val>
            <c:numRef>
              <c:f>Лист1!$G$4:$G$7</c:f>
              <c:numCache>
                <c:formatCode>_("₽"* #,##0.00_);_("₽"* \(#,##0.00\);_("₽"* "-"??_);_(@_)</c:formatCode>
                <c:ptCount val="4"/>
                <c:pt idx="0">
                  <c:v>277057.5</c:v>
                </c:pt>
                <c:pt idx="1">
                  <c:v>886732.5</c:v>
                </c:pt>
                <c:pt idx="2">
                  <c:v>1801245</c:v>
                </c:pt>
                <c:pt idx="3">
                  <c:v>1486732.5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19-4C23-A266-07E28E4ED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50772016"/>
        <c:axId val="1950767440"/>
        <c:axId val="0"/>
      </c:bar3DChart>
      <c:catAx>
        <c:axId val="195077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50767440"/>
        <c:crosses val="autoZero"/>
        <c:auto val="1"/>
        <c:lblAlgn val="ctr"/>
        <c:lblOffset val="100"/>
        <c:noMultiLvlLbl val="0"/>
      </c:catAx>
      <c:valAx>
        <c:axId val="195076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₽&quot;* #,##0.00_);_(&quot;₽&quot;* \(#,##0.00\);_(&quot;₽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5077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для прочих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Лист1!$E$2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Лист1!$A$4:$A$7</c:f>
              <c:strCache>
                <c:ptCount val="4"/>
                <c:pt idx="0">
                  <c:v>1 комн. Квартира</c:v>
                </c:pt>
                <c:pt idx="1">
                  <c:v>2-х комн. Квартира</c:v>
                </c:pt>
                <c:pt idx="2">
                  <c:v>3-х комн. Квартира</c:v>
                </c:pt>
                <c:pt idx="3">
                  <c:v>Коттедж</c:v>
                </c:pt>
              </c:strCache>
            </c:strRef>
          </c:cat>
          <c:val>
            <c:numRef>
              <c:f>Лист1!$E$4:$E$7</c:f>
              <c:numCache>
                <c:formatCode>_("₽"* #,##0.00_);_("₽"* \(#,##0.00\);_("₽"* "-"??_);_(@_)</c:formatCode>
                <c:ptCount val="4"/>
                <c:pt idx="0">
                  <c:v>660000</c:v>
                </c:pt>
                <c:pt idx="1">
                  <c:v>619350</c:v>
                </c:pt>
                <c:pt idx="2">
                  <c:v>1533862.5</c:v>
                </c:pt>
                <c:pt idx="3">
                  <c:v>1219350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C-46C6-9B79-111B9F58AD3E}"/>
            </c:ext>
          </c:extLst>
        </c:ser>
        <c:ser>
          <c:idx val="1"/>
          <c:order val="1"/>
          <c:tx>
            <c:strRef>
              <c:f>Лист1!$H$2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Лист1!$A$4:$A$7</c:f>
              <c:strCache>
                <c:ptCount val="4"/>
                <c:pt idx="0">
                  <c:v>1 комн. Квартира</c:v>
                </c:pt>
                <c:pt idx="1">
                  <c:v>2-х комн. Квартира</c:v>
                </c:pt>
                <c:pt idx="2">
                  <c:v>3-х комн. Квартира</c:v>
                </c:pt>
                <c:pt idx="3">
                  <c:v>Коттедж</c:v>
                </c:pt>
              </c:strCache>
            </c:strRef>
          </c:cat>
          <c:val>
            <c:numRef>
              <c:f>Лист1!$H$4:$H$7</c:f>
              <c:numCache>
                <c:formatCode>_("₽"* #,##0.00_);_("₽"* \(#,##0.00\);_("₽"* "-"??_);_(@_)</c:formatCode>
                <c:ptCount val="4"/>
                <c:pt idx="0">
                  <c:v>277057.5</c:v>
                </c:pt>
                <c:pt idx="1">
                  <c:v>886732.5</c:v>
                </c:pt>
                <c:pt idx="2">
                  <c:v>1801245</c:v>
                </c:pt>
                <c:pt idx="3">
                  <c:v>1486732.5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C-46C6-9B79-111B9F58A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15861760"/>
        <c:axId val="2015863008"/>
        <c:axId val="0"/>
      </c:bar3DChart>
      <c:catAx>
        <c:axId val="201586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15863008"/>
        <c:crosses val="autoZero"/>
        <c:auto val="1"/>
        <c:lblAlgn val="ctr"/>
        <c:lblOffset val="100"/>
        <c:noMultiLvlLbl val="0"/>
      </c:catAx>
      <c:valAx>
        <c:axId val="201586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₽&quot;* #,##0.00_);_(&quot;₽&quot;* \(#,##0.00\);_(&quot;₽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1586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15240</xdr:rowOff>
    </xdr:from>
    <xdr:to>
      <xdr:col>3</xdr:col>
      <xdr:colOff>223520</xdr:colOff>
      <xdr:row>20</xdr:row>
      <xdr:rowOff>144780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2C4832F-6014-4BCC-BD75-40A4C97CB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213360</xdr:colOff>
      <xdr:row>10</xdr:row>
      <xdr:rowOff>7620</xdr:rowOff>
    </xdr:from>
    <xdr:to>
      <xdr:col>6</xdr:col>
      <xdr:colOff>764540</xdr:colOff>
      <xdr:row>20</xdr:row>
      <xdr:rowOff>137160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3D85C576-4353-4998-8E29-18FEB601C8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784860</xdr:colOff>
      <xdr:row>10</xdr:row>
      <xdr:rowOff>7620</xdr:rowOff>
    </xdr:from>
    <xdr:to>
      <xdr:col>11</xdr:col>
      <xdr:colOff>269240</xdr:colOff>
      <xdr:row>20</xdr:row>
      <xdr:rowOff>137160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34A5DE8E-70D6-4EBE-BAB8-241DF8B80A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9294C-C93F-49B9-9B12-20D4B096299E}">
  <sheetPr codeName="Лист1"/>
  <dimension ref="A1:H9"/>
  <sheetViews>
    <sheetView tabSelected="1" zoomScaleNormal="100" workbookViewId="0">
      <selection activeCell="H26" sqref="H26"/>
    </sheetView>
  </sheetViews>
  <sheetFormatPr defaultRowHeight="14.4" x14ac:dyDescent="0.3"/>
  <cols>
    <col min="1" max="1" width="17.44140625" customWidth="1"/>
    <col min="2" max="2" width="14.21875" bestFit="1" customWidth="1"/>
    <col min="3" max="4" width="12.6640625" bestFit="1" customWidth="1"/>
    <col min="5" max="5" width="14.21875" bestFit="1" customWidth="1"/>
    <col min="6" max="6" width="12.6640625" bestFit="1" customWidth="1"/>
    <col min="7" max="8" width="14.21875" bestFit="1" customWidth="1"/>
  </cols>
  <sheetData>
    <row r="1" spans="1:8" ht="18.600000000000001" thickBot="1" x14ac:dyDescent="0.35">
      <c r="A1" s="9" t="s">
        <v>0</v>
      </c>
      <c r="B1" s="9"/>
      <c r="C1" s="9"/>
      <c r="D1" s="9"/>
      <c r="E1" s="9"/>
      <c r="F1" s="9"/>
      <c r="G1" s="9"/>
      <c r="H1" s="14"/>
    </row>
    <row r="2" spans="1:8" ht="15" thickBot="1" x14ac:dyDescent="0.35">
      <c r="A2" s="1" t="s">
        <v>1</v>
      </c>
      <c r="B2" s="1" t="s">
        <v>2</v>
      </c>
      <c r="C2" s="10" t="s">
        <v>3</v>
      </c>
      <c r="D2" s="11"/>
      <c r="E2" s="12"/>
      <c r="F2" s="10" t="s">
        <v>4</v>
      </c>
      <c r="G2" s="11"/>
      <c r="H2" s="12"/>
    </row>
    <row r="3" spans="1:8" ht="15" thickBot="1" x14ac:dyDescent="0.35">
      <c r="A3" s="1"/>
      <c r="B3" s="1" t="s">
        <v>8</v>
      </c>
      <c r="C3" s="1" t="s">
        <v>7</v>
      </c>
      <c r="D3" s="1" t="s">
        <v>6</v>
      </c>
      <c r="E3" s="1" t="s">
        <v>5</v>
      </c>
      <c r="F3" s="1" t="s">
        <v>7</v>
      </c>
      <c r="G3" s="13" t="s">
        <v>6</v>
      </c>
      <c r="H3" s="2" t="s">
        <v>5</v>
      </c>
    </row>
    <row r="4" spans="1:8" ht="15" thickBot="1" x14ac:dyDescent="0.35">
      <c r="A4" s="3" t="s">
        <v>9</v>
      </c>
      <c r="B4" s="4">
        <v>3000000</v>
      </c>
      <c r="C4" s="5" cm="1">
        <f t="array" ref="C4">nalog_nasl_1(D$9,B4)</f>
        <v>150000</v>
      </c>
      <c r="D4" s="5" cm="1">
        <f t="array" ref="D4">nalog_nasl_2(D$9,B4)</f>
        <v>300000</v>
      </c>
      <c r="E4" s="5" cm="1">
        <f t="array" ref="E4">nalog_nasl_3(D$9,B4)</f>
        <v>660000</v>
      </c>
      <c r="F4" s="5" cm="1">
        <f t="array" ref="F4">nalog_prez_1(D$9,B4)</f>
        <v>83601</v>
      </c>
      <c r="G4" s="5" cm="1">
        <f t="array" ref="G4">nalog_prez_2(D$9,B4)</f>
        <v>277057.5</v>
      </c>
      <c r="H4" s="15" cm="1">
        <f t="array" ref="H4">nalog_prez_2(D$9,B4)</f>
        <v>277057.5</v>
      </c>
    </row>
    <row r="5" spans="1:8" ht="15" thickBot="1" x14ac:dyDescent="0.35">
      <c r="A5" s="3" t="s">
        <v>10</v>
      </c>
      <c r="B5" s="4">
        <v>6000000</v>
      </c>
      <c r="C5" s="5" cm="1">
        <f t="array" ref="C5">nalog_nasl_1(D$9,B5)</f>
        <v>157256.25</v>
      </c>
      <c r="D5" s="5" cm="1">
        <f t="array" ref="D5">nalog_nasl_2(D$9,B5)</f>
        <v>314512.5</v>
      </c>
      <c r="E5" s="5" cm="1">
        <f t="array" ref="E5">nalog_nasl_3(D$9,B5)</f>
        <v>619350</v>
      </c>
      <c r="F5" s="5" cm="1">
        <f t="array" ref="F5">nalog_prez_1(D$9,B5)</f>
        <v>297471</v>
      </c>
      <c r="G5" s="5" cm="1">
        <f t="array" ref="G5">nalog_prez_2(D$9,B5)</f>
        <v>886732.5</v>
      </c>
      <c r="H5" s="5" cm="1">
        <f t="array" ref="H5">nalog_prez_2(D$9,B5)</f>
        <v>886732.5</v>
      </c>
    </row>
    <row r="6" spans="1:8" ht="15" thickBot="1" x14ac:dyDescent="0.35">
      <c r="A6" s="3" t="s">
        <v>11</v>
      </c>
      <c r="B6" s="4">
        <v>9000000</v>
      </c>
      <c r="C6" s="5" cm="1">
        <f t="array" ref="C6">nalog_nasl_1(D$9,B6)</f>
        <v>464512.5</v>
      </c>
      <c r="D6" s="5" cm="1">
        <f t="array" ref="D6">nalog_nasl_2(D$9,B6)</f>
        <v>824850</v>
      </c>
      <c r="E6" s="5" cm="1">
        <f t="array" ref="E6">nalog_nasl_3(D$9,B6)</f>
        <v>1533862.5</v>
      </c>
      <c r="F6" s="5" cm="1">
        <f t="array" ref="F6">nalog_prez_1(D$9,B6)</f>
        <v>633276</v>
      </c>
      <c r="G6" s="5" cm="1">
        <f t="array" ref="G6">nalog_prez_2(D$9,B6)</f>
        <v>1801245</v>
      </c>
      <c r="H6" s="5" cm="1">
        <f t="array" ref="H6">nalog_prez_2(D$9,B6)</f>
        <v>1801245</v>
      </c>
    </row>
    <row r="7" spans="1:8" ht="15" thickBot="1" x14ac:dyDescent="0.35">
      <c r="A7" s="3" t="s">
        <v>12</v>
      </c>
      <c r="B7" s="4">
        <v>8000000</v>
      </c>
      <c r="C7" s="5" cm="1">
        <f t="array" ref="C7">nalog_nasl_1(D$9,B7)</f>
        <v>357256.25</v>
      </c>
      <c r="D7" s="5" cm="1">
        <f t="array" ref="D7">nalog_nasl_2(D$9,B7)</f>
        <v>714512.5</v>
      </c>
      <c r="E7" s="5" cm="1">
        <f t="array" ref="E7">nalog_nasl_3(D$9,B7)</f>
        <v>1219350</v>
      </c>
      <c r="F7" s="5" cm="1">
        <f t="array" ref="F7">nalog_prez_1(D$9,B7)</f>
        <v>517471</v>
      </c>
      <c r="G7" s="5" cm="1">
        <f t="array" ref="G7">nalog_prez_2(D$9,B7)</f>
        <v>1486732.5</v>
      </c>
      <c r="H7" s="5" cm="1">
        <f t="array" ref="H7">nalog_prez_2(D$9,B7)</f>
        <v>1486732.5</v>
      </c>
    </row>
    <row r="8" spans="1:8" ht="15" thickBot="1" x14ac:dyDescent="0.35"/>
    <row r="9" spans="1:8" ht="15" thickBot="1" x14ac:dyDescent="0.35">
      <c r="A9" s="6" t="s">
        <v>13</v>
      </c>
      <c r="B9" s="7"/>
      <c r="C9" s="8"/>
      <c r="D9" s="5">
        <f>13890/4</f>
        <v>3472.5</v>
      </c>
    </row>
  </sheetData>
  <mergeCells count="4">
    <mergeCell ref="A9:C9"/>
    <mergeCell ref="A1:H1"/>
    <mergeCell ref="C2:E2"/>
    <mergeCell ref="F2:H2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Сергеев</dc:creator>
  <cp:lastModifiedBy>Андрей Сергеев</cp:lastModifiedBy>
  <dcterms:created xsi:type="dcterms:W3CDTF">2022-02-22T01:44:15Z</dcterms:created>
  <dcterms:modified xsi:type="dcterms:W3CDTF">2022-02-22T02:37:05Z</dcterms:modified>
</cp:coreProperties>
</file>