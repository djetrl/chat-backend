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filterPrivacy="1" codeName="ЭтаКнига" defaultThemeVersion="124226"/>
  <xr:revisionPtr revIDLastSave="0" documentId="13_ncr:1_{0E6A16DF-3866-4E55-9852-158241B84894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Доходы" sheetId="1" r:id="rId1"/>
    <sheet name="Расходы" sheetId="2" r:id="rId2"/>
    <sheet name="Анализ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3" l="1"/>
  <c r="C11" i="3"/>
  <c r="C12" i="3"/>
  <c r="C13" i="3"/>
  <c r="B7" i="3"/>
  <c r="D7" i="3" s="1"/>
  <c r="B15" i="3"/>
  <c r="C16" i="2"/>
  <c r="G16" i="2" s="1"/>
  <c r="D16" i="2"/>
  <c r="D17" i="2" s="1"/>
  <c r="E16" i="2"/>
  <c r="E17" i="2" s="1"/>
  <c r="F16" i="2"/>
  <c r="F17" i="2" s="1"/>
  <c r="B16" i="2"/>
  <c r="G5" i="2"/>
  <c r="H5" i="2" s="1"/>
  <c r="G6" i="2"/>
  <c r="H6" i="2" s="1"/>
  <c r="G7" i="2"/>
  <c r="C7" i="3" s="1"/>
  <c r="G8" i="2"/>
  <c r="C8" i="3" s="1"/>
  <c r="G9" i="2"/>
  <c r="C9" i="3" s="1"/>
  <c r="G10" i="2"/>
  <c r="H10" i="2" s="1"/>
  <c r="G11" i="2"/>
  <c r="G12" i="2"/>
  <c r="G13" i="2"/>
  <c r="H13" i="2" s="1"/>
  <c r="G14" i="2"/>
  <c r="H14" i="2" s="1"/>
  <c r="G15" i="2"/>
  <c r="C15" i="3" s="1"/>
  <c r="G4" i="2"/>
  <c r="C4" i="3" s="1"/>
  <c r="C16" i="1"/>
  <c r="D16" i="1"/>
  <c r="E16" i="1"/>
  <c r="F16" i="1"/>
  <c r="B16" i="1"/>
  <c r="G5" i="1"/>
  <c r="G6" i="1"/>
  <c r="B6" i="3" s="1"/>
  <c r="G7" i="1"/>
  <c r="G8" i="1"/>
  <c r="G9" i="1"/>
  <c r="B9" i="3" s="1"/>
  <c r="D9" i="3" s="1"/>
  <c r="G10" i="1"/>
  <c r="B10" i="3" s="1"/>
  <c r="G11" i="1"/>
  <c r="G12" i="1"/>
  <c r="B12" i="3" s="1"/>
  <c r="D12" i="3" s="1"/>
  <c r="G13" i="1"/>
  <c r="B13" i="3" s="1"/>
  <c r="D13" i="3" s="1"/>
  <c r="G14" i="1"/>
  <c r="G15" i="1"/>
  <c r="G4" i="1"/>
  <c r="E19" i="3" a="1"/>
  <c r="E19" i="3" l="1"/>
  <c r="D10" i="3"/>
  <c r="H4" i="1"/>
  <c r="H15" i="1"/>
  <c r="H7" i="1"/>
  <c r="C16" i="3"/>
  <c r="H16" i="2"/>
  <c r="G17" i="2"/>
  <c r="H11" i="2"/>
  <c r="C17" i="2"/>
  <c r="D17" i="1"/>
  <c r="H8" i="1"/>
  <c r="H14" i="1"/>
  <c r="D15" i="3"/>
  <c r="B17" i="1"/>
  <c r="H11" i="1"/>
  <c r="H12" i="2"/>
  <c r="B17" i="2"/>
  <c r="B14" i="3"/>
  <c r="D14" i="3" s="1"/>
  <c r="G16" i="1"/>
  <c r="H5" i="1" s="1"/>
  <c r="H8" i="2"/>
  <c r="C10" i="3"/>
  <c r="B4" i="3"/>
  <c r="D4" i="3" s="1"/>
  <c r="B8" i="3"/>
  <c r="D8" i="3" s="1"/>
  <c r="C14" i="3"/>
  <c r="C6" i="3"/>
  <c r="D6" i="3" s="1"/>
  <c r="H6" i="1"/>
  <c r="H13" i="1"/>
  <c r="H12" i="1"/>
  <c r="H4" i="2"/>
  <c r="H9" i="2"/>
  <c r="B5" i="3"/>
  <c r="D5" i="3" s="1"/>
  <c r="H10" i="1"/>
  <c r="H15" i="2"/>
  <c r="H7" i="2"/>
  <c r="B11" i="3"/>
  <c r="D11" i="3" s="1"/>
  <c r="H9" i="1"/>
  <c r="E17" i="1" l="1"/>
  <c r="H16" i="1"/>
  <c r="B16" i="3"/>
  <c r="D16" i="3" s="1"/>
  <c r="E18" i="3" s="1"/>
  <c r="F17" i="1"/>
  <c r="G17" i="1"/>
  <c r="C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<sst xmlns="http://schemas.openxmlformats.org/spreadsheetml/2006/main" count="67" uniqueCount="48">
  <si>
    <t>доходы студента</t>
  </si>
  <si>
    <t>стипендия</t>
  </si>
  <si>
    <t>пенсия</t>
  </si>
  <si>
    <t xml:space="preserve">Родители </t>
  </si>
  <si>
    <t>мат.помощь</t>
  </si>
  <si>
    <t>прочее</t>
  </si>
  <si>
    <t>всего</t>
  </si>
  <si>
    <t>%</t>
  </si>
  <si>
    <t>Источники доходов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</si>
  <si>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</si>
  <si>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</si>
  <si>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</si>
  <si>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</si>
  <si>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</si>
  <si>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</si>
  <si>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</si>
  <si>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</si>
  <si>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</si>
  <si>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</si>
  <si>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</si>
  <si>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</si>
  <si>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Всего</t>
  </si>
  <si>
    <t>Питания</t>
  </si>
  <si>
    <t>Одежда</t>
  </si>
  <si>
    <t>Обувь</t>
  </si>
  <si>
    <t>Отдых</t>
  </si>
  <si>
    <t>Расходы студента</t>
  </si>
  <si>
    <t>Виды расходов</t>
  </si>
  <si>
    <t>Анализ</t>
  </si>
  <si>
    <t>период</t>
  </si>
  <si>
    <t>Сравнения доходов и расходов</t>
  </si>
  <si>
    <t>доходы</t>
  </si>
  <si>
    <t>расходы</t>
  </si>
  <si>
    <t>Прибыль(убыток)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</si>
  <si>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</si>
  <si>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</si>
  <si>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</si>
  <si>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</si>
  <si>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</si>
  <si>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</si>
  <si>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</si>
  <si>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</si>
  <si>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</si>
  <si>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</si>
  <si>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</si>
  <si>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</si>
  <si>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Вывод об эффективности ведения хозяйства</t>
  </si>
  <si>
    <t>Выбор варианта использования средств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</si>
</sst>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9" fontId="0" fillId="0" borderId="1" xfId="1" applyFon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Анализ доходов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Доходы!$A$4:$A$15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Доходы!$G$4:$G$15</c:f>
              <c:numCache>
                <c:formatCode>General</c:formatCode>
                <c:ptCount val="12"/>
                <c:pt idx="0">
                  <c:v>20073</c:v>
                </c:pt>
                <c:pt idx="1">
                  <c:v>17800</c:v>
                </c:pt>
                <c:pt idx="2">
                  <c:v>19900</c:v>
                </c:pt>
                <c:pt idx="3">
                  <c:v>21710</c:v>
                </c:pt>
                <c:pt idx="4">
                  <c:v>22030</c:v>
                </c:pt>
                <c:pt idx="5">
                  <c:v>19604</c:v>
                </c:pt>
                <c:pt idx="6">
                  <c:v>16801</c:v>
                </c:pt>
                <c:pt idx="7">
                  <c:v>16921</c:v>
                </c:pt>
                <c:pt idx="8">
                  <c:v>20700</c:v>
                </c:pt>
                <c:pt idx="9">
                  <c:v>20500</c:v>
                </c:pt>
                <c:pt idx="10">
                  <c:v>17550</c:v>
                </c:pt>
                <c:pt idx="11">
                  <c:v>20500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8-4795-A9A2-2930CDBA9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Источники</a:t>
            </a:r>
            <a:r>
              <a:rPr lang="ru-RU" baseline="0"/>
              <a:t> доходов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Доходы!$B$3:$G$3</c15:sqref>
                  </c15:fullRef>
                </c:ext>
              </c:extLst>
              <c:f>Доходы!$B$3:$F$3</c:f>
              <c:strCache>
                <c:ptCount val="5"/>
                <c:pt idx="0">
                  <c:v>стипендия</c:v>
                </c:pt>
                <c:pt idx="1">
                  <c:v>пенсия</c:v>
                </c:pt>
                <c:pt idx="2">
                  <c:v>Родители </c:v>
                </c:pt>
                <c:pt idx="3">
                  <c:v>мат.помощь</c:v>
                </c:pt>
                <c:pt idx="4">
                  <c:v>прочее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Доходы!$B$16:$G$16</c15:sqref>
                  </c15:fullRef>
                </c:ext>
              </c:extLst>
              <c:f>Доходы!$B$16:$F$16</c:f>
              <c:numCache>
                <c:formatCode>General</c:formatCode>
                <c:ptCount val="5"/>
                <c:pt idx="0">
                  <c:v>18550</c:v>
                </c:pt>
                <c:pt idx="1">
                  <c:v>84000</c:v>
                </c:pt>
                <c:pt idx="2">
                  <c:v>60000</c:v>
                </c:pt>
                <c:pt idx="3">
                  <c:v>36500</c:v>
                </c:pt>
                <c:pt idx="4">
                  <c:v>35039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4AA4-4239-9616-D50AF502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Анализ доходов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30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Доходы!$A$4</c:f>
              <c:strCache>
                <c:ptCount val="1"/>
                <c:pt idx="0">
                  <c:v>Январь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B4E-4D5D-A7EA-8329F79679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B4E-4D5D-A7EA-8329F796796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B4E-4D5D-A7EA-8329F796796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B4E-4D5D-A7EA-8329F796796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B4E-4D5D-A7EA-8329F7967969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8B4E-4D5D-A7EA-8329F7967969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8B4E-4D5D-A7EA-8329F7967969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8B4E-4D5D-A7EA-8329F7967969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8B4E-4D5D-A7EA-8329F796796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8B4E-4D5D-A7EA-8329F7967969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8B4E-4D5D-A7EA-8329F7967969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8B4E-4D5D-A7EA-8329F7967969}"/>
              </c:ext>
            </c:extLst>
          </c:dPt>
          <c:val>
            <c:numRef>
              <c:f>Доходы!$G$4</c:f>
              <c:numCache>
                <c:formatCode>General</c:formatCode>
                <c:ptCount val="1"/>
                <c:pt idx="0">
                  <c:v>20073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8-4795-A9A2-2930CDBA974E}"/>
            </c:ext>
          </c:extLst>
        </c:ser>
        <c:ser>
          <c:idx val="1"/>
          <c:order val="1"/>
          <c:tx>
            <c:strRef>
              <c:f>Доходы!$A$5</c:f>
              <c:strCache>
                <c:ptCount val="1"/>
                <c:pt idx="0">
                  <c:v>Февраль</c:v>
                </c:pt>
              </c:strCache>
            </c:strRef>
          </c:tx>
          <c:spPr>
            <a:solidFill>
              <a:schemeClr val="accent2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Доходы!$G$5</c:f>
              <c:numCache>
                <c:formatCode>General</c:formatCode>
                <c:ptCount val="1"/>
                <c:pt idx="0">
                  <c:v>17800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B4E-4D5D-A7EA-8329F7967969}"/>
            </c:ext>
          </c:extLst>
        </c:ser>
        <c:ser>
          <c:idx val="2"/>
          <c:order val="2"/>
          <c:tx>
            <c:strRef>
              <c:f>Доходы!$A$6</c:f>
              <c:strCache>
                <c:ptCount val="1"/>
                <c:pt idx="0">
                  <c:v>Март</c:v>
                </c:pt>
              </c:strCache>
            </c:strRef>
          </c:tx>
          <c:spPr>
            <a:solidFill>
              <a:schemeClr val="accent3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Доходы!$G$6</c:f>
              <c:numCache>
                <c:formatCode>General</c:formatCode>
                <c:ptCount val="1"/>
                <c:pt idx="0">
                  <c:v>19900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B4E-4D5D-A7EA-8329F7967969}"/>
            </c:ext>
          </c:extLst>
        </c:ser>
        <c:ser>
          <c:idx val="3"/>
          <c:order val="3"/>
          <c:tx>
            <c:strRef>
              <c:f>Доходы!$A$7</c:f>
              <c:strCache>
                <c:ptCount val="1"/>
                <c:pt idx="0">
                  <c:v>Апрель</c:v>
                </c:pt>
              </c:strCache>
            </c:strRef>
          </c:tx>
          <c:spPr>
            <a:solidFill>
              <a:schemeClr val="accent4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Доходы!$G$7</c:f>
              <c:numCache>
                <c:formatCode>General</c:formatCode>
                <c:ptCount val="1"/>
                <c:pt idx="0">
                  <c:v>21710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B4E-4D5D-A7EA-8329F7967969}"/>
            </c:ext>
          </c:extLst>
        </c:ser>
        <c:ser>
          <c:idx val="4"/>
          <c:order val="4"/>
          <c:tx>
            <c:strRef>
              <c:f>Доходы!$A$8</c:f>
              <c:strCache>
                <c:ptCount val="1"/>
                <c:pt idx="0">
                  <c:v>Май</c:v>
                </c:pt>
              </c:strCache>
            </c:strRef>
          </c:tx>
          <c:spPr>
            <a:solidFill>
              <a:schemeClr val="accent5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Доходы!$G$8</c:f>
              <c:numCache>
                <c:formatCode>General</c:formatCode>
                <c:ptCount val="1"/>
                <c:pt idx="0">
                  <c:v>22030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B4E-4D5D-A7EA-8329F7967969}"/>
            </c:ext>
          </c:extLst>
        </c:ser>
        <c:ser>
          <c:idx val="5"/>
          <c:order val="5"/>
          <c:tx>
            <c:strRef>
              <c:f>Доходы!$A$9</c:f>
              <c:strCache>
                <c:ptCount val="1"/>
                <c:pt idx="0">
                  <c:v>Июнь</c:v>
                </c:pt>
              </c:strCache>
            </c:strRef>
          </c:tx>
          <c:spPr>
            <a:solidFill>
              <a:schemeClr val="accent6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Доходы!$G$9</c:f>
              <c:numCache>
                <c:formatCode>General</c:formatCode>
                <c:ptCount val="1"/>
                <c:pt idx="0">
                  <c:v>19604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B4E-4D5D-A7EA-8329F7967969}"/>
            </c:ext>
          </c:extLst>
        </c:ser>
        <c:ser>
          <c:idx val="6"/>
          <c:order val="6"/>
          <c:tx>
            <c:strRef>
              <c:f>Доходы!$A$10</c:f>
              <c:strCache>
                <c:ptCount val="1"/>
                <c:pt idx="0">
                  <c:v>Июль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Доходы!$G$10</c:f>
              <c:numCache>
                <c:formatCode>General</c:formatCode>
                <c:ptCount val="1"/>
                <c:pt idx="0">
                  <c:v>16801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B4E-4D5D-A7EA-8329F7967969}"/>
            </c:ext>
          </c:extLst>
        </c:ser>
        <c:ser>
          <c:idx val="7"/>
          <c:order val="7"/>
          <c:tx>
            <c:strRef>
              <c:f>Доходы!$A$11</c:f>
              <c:strCache>
                <c:ptCount val="1"/>
                <c:pt idx="0">
                  <c:v>Август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Доходы!$G$11</c:f>
              <c:numCache>
                <c:formatCode>General</c:formatCode>
                <c:ptCount val="1"/>
                <c:pt idx="0">
                  <c:v>16921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B4E-4D5D-A7EA-8329F7967969}"/>
            </c:ext>
          </c:extLst>
        </c:ser>
        <c:ser>
          <c:idx val="8"/>
          <c:order val="8"/>
          <c:tx>
            <c:strRef>
              <c:f>Доходы!$A$12</c:f>
              <c:strCache>
                <c:ptCount val="1"/>
                <c:pt idx="0">
                  <c:v>Сентябрь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Доходы!$G$12</c:f>
              <c:numCache>
                <c:formatCode>General</c:formatCode>
                <c:ptCount val="1"/>
                <c:pt idx="0">
                  <c:v>20700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B4E-4D5D-A7EA-8329F7967969}"/>
            </c:ext>
          </c:extLst>
        </c:ser>
        <c:ser>
          <c:idx val="9"/>
          <c:order val="9"/>
          <c:tx>
            <c:strRef>
              <c:f>Доходы!$A$13</c:f>
              <c:strCache>
                <c:ptCount val="1"/>
                <c:pt idx="0">
                  <c:v>Октябрь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Доходы!$G$13</c:f>
              <c:numCache>
                <c:formatCode>General</c:formatCode>
                <c:ptCount val="1"/>
                <c:pt idx="0">
                  <c:v>20500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B4E-4D5D-A7EA-8329F7967969}"/>
            </c:ext>
          </c:extLst>
        </c:ser>
        <c:ser>
          <c:idx val="10"/>
          <c:order val="10"/>
          <c:tx>
            <c:strRef>
              <c:f>Доходы!$A$14</c:f>
              <c:strCache>
                <c:ptCount val="1"/>
                <c:pt idx="0">
                  <c:v>Ноябрь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Доходы!$G$14</c:f>
              <c:numCache>
                <c:formatCode>General</c:formatCode>
                <c:ptCount val="1"/>
                <c:pt idx="0">
                  <c:v>17550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B4E-4D5D-A7EA-8329F7967969}"/>
            </c:ext>
          </c:extLst>
        </c:ser>
        <c:ser>
          <c:idx val="11"/>
          <c:order val="11"/>
          <c:tx>
            <c:strRef>
              <c:f>Доходы!$A$15</c:f>
              <c:strCache>
                <c:ptCount val="1"/>
                <c:pt idx="0">
                  <c:v>Декабрь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Доходы!$G$15</c:f>
              <c:numCache>
                <c:formatCode>General</c:formatCode>
                <c:ptCount val="1"/>
                <c:pt idx="0">
                  <c:v>20500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B4E-4D5D-A7EA-8329F7967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box"/>
        <c:axId val="891838079"/>
        <c:axId val="891850975"/>
        <c:axId val="0"/>
      </c:bar3DChart>
      <c:catAx>
        <c:axId val="89183807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91850975"/>
        <c:auto val="1"/>
        <c:lblAlgn val="ctr"/>
        <c:lblOffset val="100"/>
        <c:noMultiLvlLbl val="0"/>
      </c:catAx>
      <c:valAx>
        <c:axId val="89185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91838079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Источники</a:t>
            </a:r>
            <a:r>
              <a:rPr lang="ru-RU" baseline="0"/>
              <a:t> доходов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Доходы!$B$3</c:f>
              <c:strCache>
                <c:ptCount val="1"/>
                <c:pt idx="0">
                  <c:v>стипендия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838-49F2-B31E-2C6D7B64AD5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838-49F2-B31E-2C6D7B64AD5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838-49F2-B31E-2C6D7B64AD5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838-49F2-B31E-2C6D7B64AD5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838-49F2-B31E-2C6D7B64AD55}"/>
              </c:ext>
            </c:extLst>
          </c:dPt>
          <c:val>
            <c:numRef>
              <c:f>Доходы!$B$16</c:f>
              <c:numCache>
                <c:formatCode>General</c:formatCode>
                <c:ptCount val="1"/>
                <c:pt idx="0">
                  <c:v>18550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4-4239-9616-D50AF5024DD4}"/>
            </c:ext>
          </c:extLst>
        </c:ser>
        <c:ser>
          <c:idx val="1"/>
          <c:order val="1"/>
          <c:tx>
            <c:strRef>
              <c:f>Доходы!$C$3</c:f>
              <c:strCache>
                <c:ptCount val="1"/>
                <c:pt idx="0">
                  <c:v>пенсия</c:v>
                </c:pt>
              </c:strCache>
            </c:strRef>
          </c:tx>
          <c:spPr>
            <a:solidFill>
              <a:schemeClr val="accent2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Доходы!$C$16</c:f>
              <c:numCache>
                <c:formatCode>General</c:formatCode>
                <c:ptCount val="1"/>
                <c:pt idx="0">
                  <c:v>84000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38-49F2-B31E-2C6D7B64AD55}"/>
            </c:ext>
          </c:extLst>
        </c:ser>
        <c:ser>
          <c:idx val="2"/>
          <c:order val="2"/>
          <c:tx>
            <c:strRef>
              <c:f>Доходы!$D$3</c:f>
              <c:strCache>
                <c:ptCount val="1"/>
                <c:pt idx="0">
                  <c:v>Родители </c:v>
                </c:pt>
              </c:strCache>
            </c:strRef>
          </c:tx>
          <c:spPr>
            <a:solidFill>
              <a:schemeClr val="accent3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Доходы!$D$16</c:f>
              <c:numCache>
                <c:formatCode>General</c:formatCode>
                <c:ptCount val="1"/>
                <c:pt idx="0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38-49F2-B31E-2C6D7B64AD55}"/>
            </c:ext>
          </c:extLst>
        </c:ser>
        <c:ser>
          <c:idx val="3"/>
          <c:order val="3"/>
          <c:tx>
            <c:strRef>
              <c:f>Доходы!$E$3</c:f>
              <c:strCache>
                <c:ptCount val="1"/>
                <c:pt idx="0">
                  <c:v>мат.помощь</c:v>
                </c:pt>
              </c:strCache>
            </c:strRef>
          </c:tx>
          <c:spPr>
            <a:solidFill>
              <a:schemeClr val="accent4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Доходы!$E$16</c:f>
              <c:numCache>
                <c:formatCode>General</c:formatCode>
                <c:ptCount val="1"/>
                <c:pt idx="0">
                  <c:v>36500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838-49F2-B31E-2C6D7B64AD55}"/>
            </c:ext>
          </c:extLst>
        </c:ser>
        <c:ser>
          <c:idx val="4"/>
          <c:order val="4"/>
          <c:tx>
            <c:strRef>
              <c:f>Доходы!$F$3</c:f>
              <c:strCache>
                <c:ptCount val="1"/>
                <c:pt idx="0">
                  <c:v>прочее</c:v>
                </c:pt>
              </c:strCache>
            </c:strRef>
          </c:tx>
          <c:spPr>
            <a:solidFill>
              <a:schemeClr val="accent5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Доходы!$F$16</c:f>
              <c:numCache>
                <c:formatCode>General</c:formatCode>
                <c:ptCount val="1"/>
                <c:pt idx="0">
                  <c:v>35039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838-49F2-B31E-2C6D7B64A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box"/>
        <c:axId val="891845567"/>
        <c:axId val="891850143"/>
        <c:axId val="0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Доходы!$G$3</c15:sqref>
                        </c15:formulaRef>
                      </c:ext>
                    </c:extLst>
                    <c:strCache>
                      <c:ptCount val="1"/>
                      <c:pt idx="0">
                        <c:v>всего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solidFill>
                      <a:schemeClr val="lt1"/>
                    </a:solidFill>
                  </a:ln>
                  <a:effectLst/>
                  <a:sp3d contourW="25400">
                    <a:contourClr>
                      <a:schemeClr val="lt1"/>
                    </a:contourClr>
                  </a:sp3d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Доходы!$G$16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234089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7838-49F2-B31E-2C6D7B64AD55}"/>
                  </c:ext>
                </c:extLst>
              </c15:ser>
            </c15:filteredBarSeries>
          </c:ext>
        </c:extLst>
      </c:bar3DChart>
      <c:catAx>
        <c:axId val="89184556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91850143"/>
        <c:auto val="1"/>
        <c:lblAlgn val="ctr"/>
        <c:lblOffset val="100"/>
        <c:noMultiLvlLbl val="0"/>
      </c:catAx>
      <c:valAx>
        <c:axId val="891850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91845567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Анализ</a:t>
            </a:r>
            <a:r>
              <a:rPr lang="ru-RU" baseline="0"/>
              <a:t> расходов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Расходы!$A$4:$A$15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Расходы!$G$4:$G$15</c:f>
              <c:numCache>
                <c:formatCode>General</c:formatCode>
                <c:ptCount val="12"/>
                <c:pt idx="0">
                  <c:v>14300</c:v>
                </c:pt>
                <c:pt idx="1">
                  <c:v>15240</c:v>
                </c:pt>
                <c:pt idx="2">
                  <c:v>9410</c:v>
                </c:pt>
                <c:pt idx="3">
                  <c:v>11520</c:v>
                </c:pt>
                <c:pt idx="4">
                  <c:v>15280</c:v>
                </c:pt>
                <c:pt idx="5">
                  <c:v>13261</c:v>
                </c:pt>
                <c:pt idx="6">
                  <c:v>14970</c:v>
                </c:pt>
                <c:pt idx="7">
                  <c:v>7382</c:v>
                </c:pt>
                <c:pt idx="8">
                  <c:v>8835</c:v>
                </c:pt>
                <c:pt idx="9">
                  <c:v>14208</c:v>
                </c:pt>
                <c:pt idx="10">
                  <c:v>11021</c:v>
                </c:pt>
                <c:pt idx="11">
                  <c:v>14388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2-4614-A6CB-617533C88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Источники</a:t>
            </a:r>
            <a:r>
              <a:rPr lang="ru-RU" baseline="0"/>
              <a:t> расходов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Расходы!$B$3:$F$3</c:f>
              <c:strCache>
                <c:ptCount val="5"/>
                <c:pt idx="0">
                  <c:v>Питания</c:v>
                </c:pt>
                <c:pt idx="1">
                  <c:v>Одежда</c:v>
                </c:pt>
                <c:pt idx="2">
                  <c:v>Обувь</c:v>
                </c:pt>
                <c:pt idx="3">
                  <c:v>Отдых</c:v>
                </c:pt>
                <c:pt idx="4">
                  <c:v>прочее</c:v>
                </c:pt>
              </c:strCache>
            </c:strRef>
          </c:cat>
          <c:val>
            <c:numRef>
              <c:f>Расходы!$B$16:$F$16</c:f>
              <c:numCache>
                <c:formatCode>General</c:formatCode>
                <c:ptCount val="5"/>
                <c:pt idx="0">
                  <c:v>64653</c:v>
                </c:pt>
                <c:pt idx="1">
                  <c:v>20001</c:v>
                </c:pt>
                <c:pt idx="2">
                  <c:v>19040</c:v>
                </c:pt>
                <c:pt idx="3">
                  <c:v>40660</c:v>
                </c:pt>
                <c:pt idx="4">
                  <c:v>5461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7A-4447-B1EF-EED298026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Анализ</a:t>
            </a:r>
            <a:r>
              <a:rPr lang="ru-RU" baseline="0"/>
              <a:t> расходов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30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Расходы!$A$4</c:f>
              <c:strCache>
                <c:ptCount val="1"/>
                <c:pt idx="0">
                  <c:v>Январь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1E0-4F3C-9959-7D9C80039F7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1E0-4F3C-9959-7D9C80039F7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1E0-4F3C-9959-7D9C80039F7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1E0-4F3C-9959-7D9C80039F7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1E0-4F3C-9959-7D9C80039F79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31E0-4F3C-9959-7D9C80039F79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31E0-4F3C-9959-7D9C80039F79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31E0-4F3C-9959-7D9C80039F79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31E0-4F3C-9959-7D9C80039F7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31E0-4F3C-9959-7D9C80039F79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31E0-4F3C-9959-7D9C80039F79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31E0-4F3C-9959-7D9C80039F79}"/>
              </c:ext>
            </c:extLst>
          </c:dPt>
          <c:val>
            <c:numRef>
              <c:f>Расходы!$G$4</c:f>
              <c:numCache>
                <c:formatCode>General</c:formatCode>
                <c:ptCount val="1"/>
                <c:pt idx="0">
                  <c:v>14300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2-4614-A6CB-617533C88187}"/>
            </c:ext>
          </c:extLst>
        </c:ser>
        <c:ser>
          <c:idx val="1"/>
          <c:order val="1"/>
          <c:tx>
            <c:strRef>
              <c:f>Расходы!$A$5</c:f>
              <c:strCache>
                <c:ptCount val="1"/>
                <c:pt idx="0">
                  <c:v>Февраль</c:v>
                </c:pt>
              </c:strCache>
            </c:strRef>
          </c:tx>
          <c:spPr>
            <a:solidFill>
              <a:schemeClr val="accent2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Расходы!$G$5</c:f>
              <c:numCache>
                <c:formatCode>General</c:formatCode>
                <c:ptCount val="1"/>
                <c:pt idx="0">
                  <c:v>15240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1E0-4F3C-9959-7D9C80039F79}"/>
            </c:ext>
          </c:extLst>
        </c:ser>
        <c:ser>
          <c:idx val="2"/>
          <c:order val="2"/>
          <c:tx>
            <c:strRef>
              <c:f>Расходы!$A$6</c:f>
              <c:strCache>
                <c:ptCount val="1"/>
                <c:pt idx="0">
                  <c:v>Март</c:v>
                </c:pt>
              </c:strCache>
            </c:strRef>
          </c:tx>
          <c:spPr>
            <a:solidFill>
              <a:schemeClr val="accent3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Расходы!$G$6</c:f>
              <c:numCache>
                <c:formatCode>General</c:formatCode>
                <c:ptCount val="1"/>
                <c:pt idx="0">
                  <c:v>9410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1E0-4F3C-9959-7D9C80039F79}"/>
            </c:ext>
          </c:extLst>
        </c:ser>
        <c:ser>
          <c:idx val="3"/>
          <c:order val="3"/>
          <c:tx>
            <c:strRef>
              <c:f>Расходы!$A$7</c:f>
              <c:strCache>
                <c:ptCount val="1"/>
                <c:pt idx="0">
                  <c:v>Апрель</c:v>
                </c:pt>
              </c:strCache>
            </c:strRef>
          </c:tx>
          <c:spPr>
            <a:solidFill>
              <a:schemeClr val="accent4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Расходы!$G$7</c:f>
              <c:numCache>
                <c:formatCode>General</c:formatCode>
                <c:ptCount val="1"/>
                <c:pt idx="0">
                  <c:v>11520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1E0-4F3C-9959-7D9C80039F79}"/>
            </c:ext>
          </c:extLst>
        </c:ser>
        <c:ser>
          <c:idx val="4"/>
          <c:order val="4"/>
          <c:tx>
            <c:strRef>
              <c:f>Расходы!$A$8</c:f>
              <c:strCache>
                <c:ptCount val="1"/>
                <c:pt idx="0">
                  <c:v>Май</c:v>
                </c:pt>
              </c:strCache>
            </c:strRef>
          </c:tx>
          <c:spPr>
            <a:solidFill>
              <a:schemeClr val="accent5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Расходы!$G$8</c:f>
              <c:numCache>
                <c:formatCode>General</c:formatCode>
                <c:ptCount val="1"/>
                <c:pt idx="0">
                  <c:v>15280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1E0-4F3C-9959-7D9C80039F79}"/>
            </c:ext>
          </c:extLst>
        </c:ser>
        <c:ser>
          <c:idx val="5"/>
          <c:order val="5"/>
          <c:tx>
            <c:strRef>
              <c:f>Расходы!$A$9</c:f>
              <c:strCache>
                <c:ptCount val="1"/>
                <c:pt idx="0">
                  <c:v>Июнь</c:v>
                </c:pt>
              </c:strCache>
            </c:strRef>
          </c:tx>
          <c:spPr>
            <a:solidFill>
              <a:schemeClr val="accent6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Расходы!$G$9</c:f>
              <c:numCache>
                <c:formatCode>General</c:formatCode>
                <c:ptCount val="1"/>
                <c:pt idx="0">
                  <c:v>13261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1E0-4F3C-9959-7D9C80039F79}"/>
            </c:ext>
          </c:extLst>
        </c:ser>
        <c:ser>
          <c:idx val="6"/>
          <c:order val="6"/>
          <c:tx>
            <c:strRef>
              <c:f>Расходы!$A$10</c:f>
              <c:strCache>
                <c:ptCount val="1"/>
                <c:pt idx="0">
                  <c:v>Июль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Расходы!$G$10</c:f>
              <c:numCache>
                <c:formatCode>General</c:formatCode>
                <c:ptCount val="1"/>
                <c:pt idx="0">
                  <c:v>14970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1E0-4F3C-9959-7D9C80039F79}"/>
            </c:ext>
          </c:extLst>
        </c:ser>
        <c:ser>
          <c:idx val="7"/>
          <c:order val="7"/>
          <c:tx>
            <c:strRef>
              <c:f>Расходы!$A$11</c:f>
              <c:strCache>
                <c:ptCount val="1"/>
                <c:pt idx="0">
                  <c:v>Август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Расходы!$G$11</c:f>
              <c:numCache>
                <c:formatCode>General</c:formatCode>
                <c:ptCount val="1"/>
                <c:pt idx="0">
                  <c:v>7382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1E0-4F3C-9959-7D9C80039F79}"/>
            </c:ext>
          </c:extLst>
        </c:ser>
        <c:ser>
          <c:idx val="8"/>
          <c:order val="8"/>
          <c:tx>
            <c:strRef>
              <c:f>Расходы!$A$12</c:f>
              <c:strCache>
                <c:ptCount val="1"/>
                <c:pt idx="0">
                  <c:v>Сентябрь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Расходы!$G$12</c:f>
              <c:numCache>
                <c:formatCode>General</c:formatCode>
                <c:ptCount val="1"/>
                <c:pt idx="0">
                  <c:v>8835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1E0-4F3C-9959-7D9C80039F79}"/>
            </c:ext>
          </c:extLst>
        </c:ser>
        <c:ser>
          <c:idx val="9"/>
          <c:order val="9"/>
          <c:tx>
            <c:strRef>
              <c:f>Расходы!$A$13</c:f>
              <c:strCache>
                <c:ptCount val="1"/>
                <c:pt idx="0">
                  <c:v>Октябрь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Расходы!$G$13</c:f>
              <c:numCache>
                <c:formatCode>General</c:formatCode>
                <c:ptCount val="1"/>
                <c:pt idx="0">
                  <c:v>14208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1E0-4F3C-9959-7D9C80039F79}"/>
            </c:ext>
          </c:extLst>
        </c:ser>
        <c:ser>
          <c:idx val="10"/>
          <c:order val="10"/>
          <c:tx>
            <c:strRef>
              <c:f>Расходы!$A$14</c:f>
              <c:strCache>
                <c:ptCount val="1"/>
                <c:pt idx="0">
                  <c:v>Ноябрь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Расходы!$G$14</c:f>
              <c:numCache>
                <c:formatCode>General</c:formatCode>
                <c:ptCount val="1"/>
                <c:pt idx="0">
                  <c:v>11021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1E0-4F3C-9959-7D9C80039F79}"/>
            </c:ext>
          </c:extLst>
        </c:ser>
        <c:ser>
          <c:idx val="11"/>
          <c:order val="11"/>
          <c:tx>
            <c:strRef>
              <c:f>Расходы!$A$15</c:f>
              <c:strCache>
                <c:ptCount val="1"/>
                <c:pt idx="0">
                  <c:v>Декабрь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Расходы!$G$15</c:f>
              <c:numCache>
                <c:formatCode>General</c:formatCode>
                <c:ptCount val="1"/>
                <c:pt idx="0">
                  <c:v>14388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1E0-4F3C-9959-7D9C80039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box"/>
        <c:axId val="826633215"/>
        <c:axId val="826628223"/>
        <c:axId val="0"/>
      </c:bar3DChart>
      <c:catAx>
        <c:axId val="8266332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6628223"/>
        <c:auto val="1"/>
        <c:lblAlgn val="ctr"/>
        <c:lblOffset val="100"/>
        <c:noMultiLvlLbl val="0"/>
      </c:catAx>
      <c:valAx>
        <c:axId val="826628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6633215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Источники</a:t>
            </a:r>
            <a:r>
              <a:rPr lang="ru-RU" baseline="0"/>
              <a:t> расходов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Расходы!$B$3</c:f>
              <c:strCache>
                <c:ptCount val="1"/>
                <c:pt idx="0">
                  <c:v>Питания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E61-4EB0-93F3-1CFCA787DC6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E61-4EB0-93F3-1CFCA787DC6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E61-4EB0-93F3-1CFCA787DC6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E61-4EB0-93F3-1CFCA787DC6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E61-4EB0-93F3-1CFCA787DC66}"/>
              </c:ext>
            </c:extLst>
          </c:dPt>
          <c:val>
            <c:numRef>
              <c:f>Расходы!$B$16</c:f>
              <c:numCache>
                <c:formatCode>General</c:formatCode>
                <c:ptCount val="1"/>
                <c:pt idx="0">
                  <c:v>64653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7A-4447-B1EF-EED298026BE8}"/>
            </c:ext>
          </c:extLst>
        </c:ser>
        <c:ser>
          <c:idx val="1"/>
          <c:order val="1"/>
          <c:tx>
            <c:strRef>
              <c:f>Расходы!$C$3</c:f>
              <c:strCache>
                <c:ptCount val="1"/>
                <c:pt idx="0">
                  <c:v>Одежда</c:v>
                </c:pt>
              </c:strCache>
            </c:strRef>
          </c:tx>
          <c:spPr>
            <a:solidFill>
              <a:schemeClr val="accent2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Расходы!$C$16</c:f>
              <c:numCache>
                <c:formatCode>General</c:formatCode>
                <c:ptCount val="1"/>
                <c:pt idx="0">
                  <c:v>20001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61-4EB0-93F3-1CFCA787DC66}"/>
            </c:ext>
          </c:extLst>
        </c:ser>
        <c:ser>
          <c:idx val="2"/>
          <c:order val="2"/>
          <c:tx>
            <c:strRef>
              <c:f>Расходы!$D$3</c:f>
              <c:strCache>
                <c:ptCount val="1"/>
                <c:pt idx="0">
                  <c:v>Обувь</c:v>
                </c:pt>
              </c:strCache>
            </c:strRef>
          </c:tx>
          <c:spPr>
            <a:solidFill>
              <a:schemeClr val="accent3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Расходы!$D$16</c:f>
              <c:numCache>
                <c:formatCode>General</c:formatCode>
                <c:ptCount val="1"/>
                <c:pt idx="0">
                  <c:v>19040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61-4EB0-93F3-1CFCA787DC66}"/>
            </c:ext>
          </c:extLst>
        </c:ser>
        <c:ser>
          <c:idx val="3"/>
          <c:order val="3"/>
          <c:tx>
            <c:strRef>
              <c:f>Расходы!$E$3</c:f>
              <c:strCache>
                <c:ptCount val="1"/>
                <c:pt idx="0">
                  <c:v>Отдых</c:v>
                </c:pt>
              </c:strCache>
            </c:strRef>
          </c:tx>
          <c:spPr>
            <a:solidFill>
              <a:schemeClr val="accent4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Расходы!$E$16</c:f>
              <c:numCache>
                <c:formatCode>General</c:formatCode>
                <c:ptCount val="1"/>
                <c:pt idx="0">
                  <c:v>40660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E61-4EB0-93F3-1CFCA787DC66}"/>
            </c:ext>
          </c:extLst>
        </c:ser>
        <c:ser>
          <c:idx val="4"/>
          <c:order val="4"/>
          <c:tx>
            <c:strRef>
              <c:f>Расходы!$F$3</c:f>
              <c:strCache>
                <c:ptCount val="1"/>
                <c:pt idx="0">
                  <c:v>прочее</c:v>
                </c:pt>
              </c:strCache>
            </c:strRef>
          </c:tx>
          <c:spPr>
            <a:solidFill>
              <a:schemeClr val="accent5"/>
            </a:solidFill>
            <a:ln w="25400">
              <a:solidFill>
                <a:schemeClr val="lt1"/>
              </a:solidFill>
            </a:ln>
            <a:effectLst/>
            <a:sp3d contourW="25400">
              <a:contourClr>
                <a:schemeClr val="lt1"/>
              </a:contourClr>
            </a:sp3d>
          </c:spPr>
          <c:invertIfNegative val="0"/>
          <c:val>
            <c:numRef>
              <c:f>Расходы!$F$16</c:f>
              <c:numCache>
                <c:formatCode>General</c:formatCode>
                <c:ptCount val="1"/>
                <c:pt idx="0">
                  <c:v>5461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E61-4EB0-93F3-1CFCA787D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box"/>
        <c:axId val="939616367"/>
        <c:axId val="939608879"/>
        <c:axId val="0"/>
      </c:bar3DChart>
      <c:catAx>
        <c:axId val="93961636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9608879"/>
        <c:auto val="1"/>
        <c:lblAlgn val="ctr"/>
        <c:lblOffset val="100"/>
        <c:noMultiLvlLbl val="0"/>
      </c:catAx>
      <c:valAx>
        <c:axId val="93960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9616367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</a:t>
            </a:r>
            <a:r>
              <a:rPr lang="ru-RU" baseline="0"/>
              <a:t> доходов и расходов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Анализ!$B$3</c:f>
              <c:strCache>
                <c:ptCount val="1"/>
                <c:pt idx="0">
                  <c:v>доходы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Анализ!$B$4:$B$16</c:f>
              <c:numCache>
                <c:formatCode>General</c:formatCode>
                <c:ptCount val="13"/>
                <c:pt idx="0">
                  <c:v>20073</c:v>
                </c:pt>
                <c:pt idx="1">
                  <c:v>17800</c:v>
                </c:pt>
                <c:pt idx="2">
                  <c:v>19900</c:v>
                </c:pt>
                <c:pt idx="3">
                  <c:v>21710</c:v>
                </c:pt>
                <c:pt idx="4">
                  <c:v>22030</c:v>
                </c:pt>
                <c:pt idx="5">
                  <c:v>19604</c:v>
                </c:pt>
                <c:pt idx="6">
                  <c:v>16801</c:v>
                </c:pt>
                <c:pt idx="7">
                  <c:v>16921</c:v>
                </c:pt>
                <c:pt idx="8">
                  <c:v>20700</c:v>
                </c:pt>
                <c:pt idx="9">
                  <c:v>20500</c:v>
                </c:pt>
                <c:pt idx="10">
                  <c:v>17550</c:v>
                </c:pt>
                <c:pt idx="11">
                  <c:v>20500</c:v>
                </c:pt>
                <c:pt idx="12">
                  <c:v>234089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DD-4E9F-B848-7562400322AE}"/>
            </c:ext>
          </c:extLst>
        </c:ser>
        <c:ser>
          <c:idx val="1"/>
          <c:order val="1"/>
          <c:tx>
            <c:strRef>
              <c:f>Анализ!$C$3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Анализ!$C$4:$C$16</c:f>
              <c:numCache>
                <c:formatCode>General</c:formatCode>
                <c:ptCount val="13"/>
                <c:pt idx="0">
                  <c:v>14300</c:v>
                </c:pt>
                <c:pt idx="1">
                  <c:v>15240</c:v>
                </c:pt>
                <c:pt idx="2">
                  <c:v>9410</c:v>
                </c:pt>
                <c:pt idx="3">
                  <c:v>11520</c:v>
                </c:pt>
                <c:pt idx="4">
                  <c:v>15280</c:v>
                </c:pt>
                <c:pt idx="5">
                  <c:v>13261</c:v>
                </c:pt>
                <c:pt idx="6">
                  <c:v>14970</c:v>
                </c:pt>
                <c:pt idx="7">
                  <c:v>7382</c:v>
                </c:pt>
                <c:pt idx="8">
                  <c:v>8835</c:v>
                </c:pt>
                <c:pt idx="9">
                  <c:v>14208</c:v>
                </c:pt>
                <c:pt idx="10">
                  <c:v>11021</c:v>
                </c:pt>
                <c:pt idx="11">
                  <c:v>14388</c:v>
                </c:pt>
                <c:pt idx="12">
                  <c:v>149815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DD-4E9F-B848-756240032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6627391"/>
        <c:axId val="826619903"/>
      </c:barChart>
      <c:catAx>
        <c:axId val="826627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6619903"/>
        <c:crosses val="autoZero"/>
        <c:auto val="1"/>
        <c:lblAlgn val="ctr"/>
        <c:lblOffset val="100"/>
        <c:noMultiLvlLbl val="0"/>
      </c:catAx>
      <c:valAx>
        <c:axId val="826619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6627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167640</xdr:rowOff>
    </xdr:from>
    <xdr:to>
      <xdr:col>6</xdr:col>
      <xdr:colOff>15240</xdr:colOff>
      <xdr:row>29</xdr:row>
      <xdr:rowOff>160020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3295BA08-E81E-45D8-A83D-DB6304BE3B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29</xdr:row>
      <xdr:rowOff>167640</xdr:rowOff>
    </xdr:from>
    <xdr:to>
      <xdr:col>6</xdr:col>
      <xdr:colOff>30480</xdr:colOff>
      <xdr:row>42</xdr:row>
      <xdr:rowOff>160020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5FC209FD-97B0-49C9-84E0-D2AC11FDA7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30480</xdr:colOff>
      <xdr:row>17</xdr:row>
      <xdr:rowOff>7620</xdr:rowOff>
    </xdr:from>
    <xdr:to>
      <xdr:col>12</xdr:col>
      <xdr:colOff>594360</xdr:colOff>
      <xdr:row>30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1479DEA-4522-48FF-B50C-FFF21F3BD2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38100</xdr:colOff>
      <xdr:row>30</xdr:row>
      <xdr:rowOff>7620</xdr:rowOff>
    </xdr:from>
    <xdr:to>
      <xdr:col>13</xdr:col>
      <xdr:colOff>7620</xdr:colOff>
      <xdr:row>43</xdr:row>
      <xdr:rowOff>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E37EFBB1-0E29-4796-8EEA-E98B754139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0</xdr:rowOff>
    </xdr:from>
    <xdr:to>
      <xdr:col>6</xdr:col>
      <xdr:colOff>15240</xdr:colOff>
      <xdr:row>29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26CC6E9-990D-4C90-BAC7-A6FA1EE722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29</xdr:row>
      <xdr:rowOff>15240</xdr:rowOff>
    </xdr:from>
    <xdr:to>
      <xdr:col>6</xdr:col>
      <xdr:colOff>15240</xdr:colOff>
      <xdr:row>41</xdr:row>
      <xdr:rowOff>15240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29D1087-A4DC-4B63-80E1-9CD61E596B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30480</xdr:colOff>
      <xdr:row>17</xdr:row>
      <xdr:rowOff>7620</xdr:rowOff>
    </xdr:from>
    <xdr:to>
      <xdr:col>13</xdr:col>
      <xdr:colOff>7620</xdr:colOff>
      <xdr:row>29</xdr:row>
      <xdr:rowOff>7620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335D4A96-B02E-4BDD-B020-2FDF9A1AE4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38100</xdr:colOff>
      <xdr:row>29</xdr:row>
      <xdr:rowOff>22860</xdr:rowOff>
    </xdr:from>
    <xdr:to>
      <xdr:col>13</xdr:col>
      <xdr:colOff>15240</xdr:colOff>
      <xdr:row>41</xdr:row>
      <xdr:rowOff>22860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3E95D5A2-0FBD-4859-B952-F2A30AC2D0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7620</xdr:rowOff>
    </xdr:from>
    <xdr:to>
      <xdr:col>4</xdr:col>
      <xdr:colOff>15240</xdr:colOff>
      <xdr:row>31</xdr:row>
      <xdr:rowOff>167640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328D556C-E959-42ED-95EC-8A609BC5B9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18"/>
  <sheetViews>
    <sheetView topLeftCell="D1" workbookViewId="0">
      <selection activeCell="K48" sqref="K48"/>
    </sheetView>
  </sheetViews>
  <sheetFormatPr defaultRowHeight="14.4" x14ac:dyDescent="0.3"/>
  <cols>
    <col min="2" max="2" width="12.88671875" customWidth="1"/>
    <col min="5" max="5" width="12.88671875" customWidth="1"/>
  </cols>
  <sheetData>
    <row r="1" spans="1:9" x14ac:dyDescent="0.3">
      <c r="A1" s="7" t="s">
        <v>0</v>
      </c>
      <c r="B1" s="7"/>
      <c r="C1" s="7"/>
      <c r="D1" s="7"/>
      <c r="E1" s="7"/>
      <c r="F1" s="7"/>
      <c r="G1" s="7"/>
      <c r="H1" s="7"/>
      <c r="I1" s="1"/>
    </row>
    <row r="2" spans="1:9" x14ac:dyDescent="0.3">
      <c r="A2" s="7"/>
      <c r="B2" s="7" t="s">
        <v>8</v>
      </c>
      <c r="C2" s="7"/>
      <c r="D2" s="7"/>
      <c r="E2" s="7"/>
      <c r="F2" s="7"/>
      <c r="G2" s="7"/>
      <c r="H2" s="7"/>
      <c r="I2" s="1"/>
    </row>
    <row r="3" spans="1:9" x14ac:dyDescent="0.3">
      <c r="A3" s="7"/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1"/>
    </row>
    <row r="4" spans="1:9" x14ac:dyDescent="0.3">
      <c r="A4" s="2" t="s">
        <v>9</v>
      </c>
      <c r="B4" s="2">
        <v>1500</v>
      </c>
      <c r="C4" s="2">
        <v>7000</v>
      </c>
      <c r="D4" s="2">
        <v>5000</v>
      </c>
      <c r="E4" s="2">
        <v>3000</v>
      </c>
      <c r="F4" s="2">
        <v>3573</v>
      </c>
      <c r="G4" s="2">
        <f>SUM(B4:F4)</f>
        <v>20073</v>
      </c>
      <c r="H4" s="4">
        <f>G4/$G$16</f>
        <v>8.5749437179876029E-2</v>
      </c>
      <c r="I4" s="1"/>
    </row>
    <row r="5" spans="1:9" x14ac:dyDescent="0.3">
      <c r="A5" s="2" t="s">
        <v>10</v>
      </c>
      <c r="B5" s="2">
        <v>1500</v>
      </c>
      <c r="C5" s="2">
        <v>7000</v>
      </c>
      <c r="D5" s="2">
        <v>5000</v>
      </c>
      <c r="E5" s="2">
        <v>3000</v>
      </c>
      <c r="F5" s="2">
        <v>1300</v>
      </c>
      <c r="G5" s="2">
        <f t="shared" ref="G5:G16" si="0">SUM(B5:F5)</f>
        <v>17800</v>
      </c>
      <c r="H5" s="4">
        <f t="shared" ref="H5:H16" si="1">G5/$G$16</f>
        <v>7.6039455079051133E-2</v>
      </c>
      <c r="I5" s="1"/>
    </row>
    <row r="6" spans="1:9" x14ac:dyDescent="0.3">
      <c r="A6" s="2" t="s">
        <v>11</v>
      </c>
      <c r="B6" s="2">
        <v>1500</v>
      </c>
      <c r="C6" s="2">
        <v>7000</v>
      </c>
      <c r="D6" s="2">
        <v>5000</v>
      </c>
      <c r="E6" s="2">
        <v>3000</v>
      </c>
      <c r="F6" s="2">
        <v>3400</v>
      </c>
      <c r="G6" s="2">
        <f t="shared" si="0"/>
        <v>19900</v>
      </c>
      <c r="H6" s="4">
        <f t="shared" si="1"/>
        <v>8.501040202657964E-2</v>
      </c>
      <c r="I6" s="1"/>
    </row>
    <row r="7" spans="1:9" x14ac:dyDescent="0.3">
      <c r="A7" s="2" t="s">
        <v>12</v>
      </c>
      <c r="B7" s="2">
        <v>1500</v>
      </c>
      <c r="C7" s="2">
        <v>7000</v>
      </c>
      <c r="D7" s="2">
        <v>5000</v>
      </c>
      <c r="E7" s="2">
        <v>3000</v>
      </c>
      <c r="F7" s="2">
        <v>5210</v>
      </c>
      <c r="G7" s="2">
        <f t="shared" si="0"/>
        <v>21710</v>
      </c>
      <c r="H7" s="4">
        <f t="shared" si="1"/>
        <v>9.2742503919449437E-2</v>
      </c>
      <c r="I7" s="1"/>
    </row>
    <row r="8" spans="1:9" x14ac:dyDescent="0.3">
      <c r="A8" s="2" t="s">
        <v>13</v>
      </c>
      <c r="B8" s="2">
        <v>1500</v>
      </c>
      <c r="C8" s="2">
        <v>7000</v>
      </c>
      <c r="D8" s="2">
        <v>5000</v>
      </c>
      <c r="E8" s="2">
        <v>3000</v>
      </c>
      <c r="F8" s="2">
        <v>5530</v>
      </c>
      <c r="G8" s="2">
        <f t="shared" si="0"/>
        <v>22030</v>
      </c>
      <c r="H8" s="4">
        <f t="shared" si="1"/>
        <v>9.4109505359072837E-2</v>
      </c>
      <c r="I8" s="1"/>
    </row>
    <row r="9" spans="1:9" x14ac:dyDescent="0.3">
      <c r="A9" s="2" t="s">
        <v>14</v>
      </c>
      <c r="B9" s="2">
        <v>1500</v>
      </c>
      <c r="C9" s="2">
        <v>7000</v>
      </c>
      <c r="D9" s="2">
        <v>5000</v>
      </c>
      <c r="E9" s="2">
        <v>3000</v>
      </c>
      <c r="F9" s="2">
        <v>3104</v>
      </c>
      <c r="G9" s="2">
        <f t="shared" si="0"/>
        <v>19604</v>
      </c>
      <c r="H9" s="4">
        <f t="shared" si="1"/>
        <v>8.3745925694928003E-2</v>
      </c>
      <c r="I9" s="1"/>
    </row>
    <row r="10" spans="1:9" x14ac:dyDescent="0.3">
      <c r="A10" s="2" t="s">
        <v>15</v>
      </c>
      <c r="B10" s="2">
        <v>1500</v>
      </c>
      <c r="C10" s="2">
        <v>7000</v>
      </c>
      <c r="D10" s="2">
        <v>5000</v>
      </c>
      <c r="E10" s="2">
        <v>3000</v>
      </c>
      <c r="F10" s="2">
        <v>301</v>
      </c>
      <c r="G10" s="2">
        <f t="shared" si="0"/>
        <v>16801</v>
      </c>
      <c r="H10" s="4">
        <f t="shared" si="1"/>
        <v>7.1771847459726854E-2</v>
      </c>
      <c r="I10" s="1"/>
    </row>
    <row r="11" spans="1:9" x14ac:dyDescent="0.3">
      <c r="A11" s="2" t="s">
        <v>16</v>
      </c>
      <c r="B11" s="2">
        <v>1500</v>
      </c>
      <c r="C11" s="2">
        <v>7000</v>
      </c>
      <c r="D11" s="2">
        <v>5000</v>
      </c>
      <c r="E11" s="2">
        <v>3000</v>
      </c>
      <c r="F11" s="2">
        <v>421</v>
      </c>
      <c r="G11" s="2">
        <f t="shared" si="0"/>
        <v>16921</v>
      </c>
      <c r="H11" s="4">
        <f t="shared" si="1"/>
        <v>7.2284472999585625E-2</v>
      </c>
      <c r="I11" s="1"/>
    </row>
    <row r="12" spans="1:9" x14ac:dyDescent="0.3">
      <c r="A12" s="2" t="s">
        <v>17</v>
      </c>
      <c r="B12" s="2">
        <v>1500</v>
      </c>
      <c r="C12" s="2">
        <v>7000</v>
      </c>
      <c r="D12" s="2">
        <v>5000</v>
      </c>
      <c r="E12" s="2">
        <v>3000</v>
      </c>
      <c r="F12" s="2">
        <v>4200</v>
      </c>
      <c r="G12" s="2">
        <f t="shared" si="0"/>
        <v>20700</v>
      </c>
      <c r="H12" s="4">
        <f t="shared" si="1"/>
        <v>8.8427905625638112E-2</v>
      </c>
      <c r="I12" s="1"/>
    </row>
    <row r="13" spans="1:9" x14ac:dyDescent="0.3">
      <c r="A13" s="2" t="s">
        <v>18</v>
      </c>
      <c r="B13" s="2">
        <v>1500</v>
      </c>
      <c r="C13" s="2">
        <v>7000</v>
      </c>
      <c r="D13" s="2">
        <v>5000</v>
      </c>
      <c r="E13" s="2">
        <v>3000</v>
      </c>
      <c r="F13" s="2">
        <v>4000</v>
      </c>
      <c r="G13" s="2">
        <f t="shared" si="0"/>
        <v>20500</v>
      </c>
      <c r="H13" s="4">
        <f t="shared" si="1"/>
        <v>8.7573529725873497E-2</v>
      </c>
      <c r="I13" s="1"/>
    </row>
    <row r="14" spans="1:9" x14ac:dyDescent="0.3">
      <c r="A14" s="2" t="s">
        <v>19</v>
      </c>
      <c r="B14" s="2">
        <v>1550</v>
      </c>
      <c r="C14" s="2">
        <v>7000</v>
      </c>
      <c r="D14" s="2">
        <v>5000</v>
      </c>
      <c r="E14" s="2">
        <v>3000</v>
      </c>
      <c r="F14" s="2">
        <v>1000</v>
      </c>
      <c r="G14" s="2">
        <f t="shared" si="0"/>
        <v>17550</v>
      </c>
      <c r="H14" s="4">
        <f t="shared" si="1"/>
        <v>7.4971485204345351E-2</v>
      </c>
      <c r="I14" s="1"/>
    </row>
    <row r="15" spans="1:9" x14ac:dyDescent="0.3">
      <c r="A15" s="2" t="s">
        <v>20</v>
      </c>
      <c r="B15" s="2">
        <v>2000</v>
      </c>
      <c r="C15" s="2">
        <v>7000</v>
      </c>
      <c r="D15" s="2">
        <v>5000</v>
      </c>
      <c r="E15" s="2">
        <v>3500</v>
      </c>
      <c r="F15" s="2">
        <v>3000</v>
      </c>
      <c r="G15" s="2">
        <f t="shared" si="0"/>
        <v>20500</v>
      </c>
      <c r="H15" s="4">
        <f t="shared" si="1"/>
        <v>8.7573529725873497E-2</v>
      </c>
      <c r="I15" s="1"/>
    </row>
    <row r="16" spans="1:9" x14ac:dyDescent="0.3">
      <c r="A16" s="2" t="s">
        <v>21</v>
      </c>
      <c r="B16" s="2">
        <f>SUM(B4:B15)</f>
        <v>18550</v>
      </c>
      <c r="C16" s="2">
        <f t="shared" ref="C16:F16" si="2">SUM(C4:C15)</f>
        <v>84000</v>
      </c>
      <c r="D16" s="2">
        <f t="shared" si="2"/>
        <v>60000</v>
      </c>
      <c r="E16" s="2">
        <f t="shared" si="2"/>
        <v>36500</v>
      </c>
      <c r="F16" s="2">
        <f t="shared" si="2"/>
        <v>35039</v>
      </c>
      <c r="G16" s="2">
        <f t="shared" si="0"/>
        <v>234089</v>
      </c>
      <c r="H16" s="4">
        <f t="shared" si="1"/>
        <v>1</v>
      </c>
      <c r="I16" s="1"/>
    </row>
    <row r="17" spans="1:9" x14ac:dyDescent="0.3">
      <c r="A17" s="2" t="s">
        <v>7</v>
      </c>
      <c r="B17" s="4">
        <f>B16/$G$16</f>
        <v>7.9243364703168451E-2</v>
      </c>
      <c r="C17" s="4">
        <f t="shared" ref="C17:G17" si="3">C16/$G$16</f>
        <v>0.35883787790114019</v>
      </c>
      <c r="D17" s="4">
        <f>D16/$G$16</f>
        <v>0.25631276992938584</v>
      </c>
      <c r="E17" s="4">
        <f t="shared" si="3"/>
        <v>0.15592360170704306</v>
      </c>
      <c r="F17" s="4">
        <f t="shared" si="3"/>
        <v>0.14968238575926252</v>
      </c>
      <c r="G17" s="4">
        <f t="shared" si="3"/>
        <v>1</v>
      </c>
      <c r="H17" s="4"/>
      <c r="I17" s="1"/>
    </row>
    <row r="18" spans="1:9" x14ac:dyDescent="0.3">
      <c r="A18" s="1"/>
      <c r="B18" s="1"/>
      <c r="C18" s="1"/>
      <c r="D18" s="1"/>
      <c r="E18" s="1"/>
      <c r="F18" s="1"/>
      <c r="G18" s="1"/>
      <c r="H18" s="1"/>
      <c r="I18" s="1"/>
    </row>
  </sheetData>
  <mergeCells count="3">
    <mergeCell ref="A1:H1"/>
    <mergeCell ref="A2:A3"/>
    <mergeCell ref="B2:H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J18"/>
  <sheetViews>
    <sheetView topLeftCell="C21" workbookViewId="0">
      <selection activeCell="J33" sqref="J33"/>
    </sheetView>
  </sheetViews>
  <sheetFormatPr defaultRowHeight="14.4" x14ac:dyDescent="0.3"/>
  <cols>
    <col min="2" max="2" width="16.5546875" customWidth="1"/>
    <col min="3" max="5" width="9.109375" customWidth="1"/>
  </cols>
  <sheetData>
    <row r="1" spans="1:10" x14ac:dyDescent="0.3">
      <c r="A1" s="7" t="s">
        <v>26</v>
      </c>
      <c r="B1" s="7"/>
      <c r="C1" s="7"/>
      <c r="D1" s="7"/>
      <c r="E1" s="7"/>
      <c r="F1" s="7"/>
      <c r="G1" s="7"/>
      <c r="H1" s="7"/>
      <c r="I1" s="1"/>
      <c r="J1" s="1"/>
    </row>
    <row r="2" spans="1:10" x14ac:dyDescent="0.3">
      <c r="A2" s="7"/>
      <c r="B2" s="7" t="s">
        <v>27</v>
      </c>
      <c r="C2" s="7"/>
      <c r="D2" s="7"/>
      <c r="E2" s="7"/>
      <c r="F2" s="7"/>
      <c r="G2" s="7"/>
      <c r="H2" s="7"/>
      <c r="I2" s="1"/>
      <c r="J2" s="1"/>
    </row>
    <row r="3" spans="1:10" x14ac:dyDescent="0.3">
      <c r="A3" s="7"/>
      <c r="B3" s="2" t="s">
        <v>22</v>
      </c>
      <c r="C3" s="2" t="s">
        <v>23</v>
      </c>
      <c r="D3" s="2" t="s">
        <v>24</v>
      </c>
      <c r="E3" s="2" t="s">
        <v>25</v>
      </c>
      <c r="F3" s="2" t="s">
        <v>5</v>
      </c>
      <c r="G3" s="2" t="s">
        <v>6</v>
      </c>
      <c r="H3" s="2" t="s">
        <v>7</v>
      </c>
      <c r="I3" s="1"/>
      <c r="J3" s="1"/>
    </row>
    <row r="4" spans="1:10" x14ac:dyDescent="0.3">
      <c r="A4" s="2" t="s">
        <v>9</v>
      </c>
      <c r="B4" s="2">
        <v>5000</v>
      </c>
      <c r="C4" s="2">
        <v>3000</v>
      </c>
      <c r="D4" s="2">
        <v>3000</v>
      </c>
      <c r="E4" s="2">
        <v>3000</v>
      </c>
      <c r="F4" s="2">
        <v>300</v>
      </c>
      <c r="G4" s="2">
        <f>SUM(B4:F4)</f>
        <v>14300</v>
      </c>
      <c r="H4" s="4">
        <f>G4/$G$16</f>
        <v>9.5451056302773424E-2</v>
      </c>
      <c r="I4" s="1"/>
      <c r="J4" s="1"/>
    </row>
    <row r="5" spans="1:10" x14ac:dyDescent="0.3">
      <c r="A5" s="2" t="s">
        <v>10</v>
      </c>
      <c r="B5" s="2">
        <v>6000</v>
      </c>
      <c r="C5" s="2">
        <v>4500</v>
      </c>
      <c r="D5" s="2">
        <v>0</v>
      </c>
      <c r="E5" s="2">
        <v>4320</v>
      </c>
      <c r="F5" s="2">
        <v>420</v>
      </c>
      <c r="G5" s="2">
        <f t="shared" ref="G5:G16" si="0">SUM(B5:F5)</f>
        <v>15240</v>
      </c>
      <c r="H5" s="4">
        <f t="shared" ref="H5:H16" si="1">G5/$G$16</f>
        <v>0.10172546140239629</v>
      </c>
      <c r="I5" s="1"/>
      <c r="J5" s="1"/>
    </row>
    <row r="6" spans="1:10" x14ac:dyDescent="0.3">
      <c r="A6" s="2" t="s">
        <v>11</v>
      </c>
      <c r="B6" s="2">
        <v>4000</v>
      </c>
      <c r="C6" s="2">
        <v>1000</v>
      </c>
      <c r="D6" s="2">
        <v>0</v>
      </c>
      <c r="E6" s="2">
        <v>4100</v>
      </c>
      <c r="F6" s="2">
        <v>310</v>
      </c>
      <c r="G6" s="2">
        <f t="shared" si="0"/>
        <v>9410</v>
      </c>
      <c r="H6" s="4">
        <f t="shared" si="1"/>
        <v>6.2810799986650206E-2</v>
      </c>
      <c r="I6" s="1"/>
      <c r="J6" s="1"/>
    </row>
    <row r="7" spans="1:10" x14ac:dyDescent="0.3">
      <c r="A7" s="2" t="s">
        <v>12</v>
      </c>
      <c r="B7" s="2">
        <v>5400</v>
      </c>
      <c r="C7" s="2">
        <v>400</v>
      </c>
      <c r="D7" s="2">
        <v>0</v>
      </c>
      <c r="E7" s="2">
        <v>5300</v>
      </c>
      <c r="F7" s="2">
        <v>420</v>
      </c>
      <c r="G7" s="2">
        <f t="shared" si="0"/>
        <v>11520</v>
      </c>
      <c r="H7" s="4">
        <f t="shared" si="1"/>
        <v>7.6894836965590893E-2</v>
      </c>
      <c r="I7" s="1"/>
      <c r="J7" s="1"/>
    </row>
    <row r="8" spans="1:10" x14ac:dyDescent="0.3">
      <c r="A8" s="2" t="s">
        <v>13</v>
      </c>
      <c r="B8" s="2">
        <v>6031</v>
      </c>
      <c r="C8" s="2">
        <v>690</v>
      </c>
      <c r="D8" s="2">
        <v>4000</v>
      </c>
      <c r="E8" s="2">
        <v>4100</v>
      </c>
      <c r="F8" s="2">
        <v>459</v>
      </c>
      <c r="G8" s="2">
        <f t="shared" si="0"/>
        <v>15280</v>
      </c>
      <c r="H8" s="4">
        <f t="shared" si="1"/>
        <v>0.10199245736408237</v>
      </c>
      <c r="I8" s="1"/>
      <c r="J8" s="1"/>
    </row>
    <row r="9" spans="1:10" x14ac:dyDescent="0.3">
      <c r="A9" s="2" t="s">
        <v>14</v>
      </c>
      <c r="B9" s="2">
        <v>6830</v>
      </c>
      <c r="C9" s="2">
        <v>3000</v>
      </c>
      <c r="D9" s="2">
        <v>0</v>
      </c>
      <c r="E9" s="2">
        <v>3000</v>
      </c>
      <c r="F9" s="2">
        <v>431</v>
      </c>
      <c r="G9" s="2">
        <f t="shared" si="0"/>
        <v>13261</v>
      </c>
      <c r="H9" s="4">
        <f t="shared" si="1"/>
        <v>8.851583619797751E-2</v>
      </c>
      <c r="I9" s="1"/>
      <c r="J9" s="1"/>
    </row>
    <row r="10" spans="1:10" x14ac:dyDescent="0.3">
      <c r="A10" s="2" t="s">
        <v>15</v>
      </c>
      <c r="B10" s="2">
        <v>5032</v>
      </c>
      <c r="C10" s="2">
        <v>5310</v>
      </c>
      <c r="D10" s="2">
        <v>0</v>
      </c>
      <c r="E10" s="2">
        <v>4200</v>
      </c>
      <c r="F10" s="2">
        <v>428</v>
      </c>
      <c r="G10" s="2">
        <f t="shared" si="0"/>
        <v>14970</v>
      </c>
      <c r="H10" s="4">
        <f t="shared" si="1"/>
        <v>9.9923238661015254E-2</v>
      </c>
      <c r="I10" s="1"/>
      <c r="J10" s="1"/>
    </row>
    <row r="11" spans="1:10" x14ac:dyDescent="0.3">
      <c r="A11" s="2" t="s">
        <v>16</v>
      </c>
      <c r="B11" s="2">
        <v>3050</v>
      </c>
      <c r="C11" s="2">
        <v>500</v>
      </c>
      <c r="D11" s="2">
        <v>0</v>
      </c>
      <c r="E11" s="2">
        <v>3200</v>
      </c>
      <c r="F11" s="2">
        <v>632</v>
      </c>
      <c r="G11" s="2">
        <f t="shared" si="0"/>
        <v>7382</v>
      </c>
      <c r="H11" s="4">
        <f t="shared" si="1"/>
        <v>4.927410472916597E-2</v>
      </c>
      <c r="I11" s="1"/>
      <c r="J11" s="1"/>
    </row>
    <row r="12" spans="1:10" x14ac:dyDescent="0.3">
      <c r="A12" s="2" t="s">
        <v>17</v>
      </c>
      <c r="B12" s="2">
        <v>6040</v>
      </c>
      <c r="C12" s="2">
        <v>300</v>
      </c>
      <c r="D12" s="2">
        <v>0</v>
      </c>
      <c r="E12" s="2">
        <v>2000</v>
      </c>
      <c r="F12" s="2">
        <v>495</v>
      </c>
      <c r="G12" s="2">
        <f t="shared" si="0"/>
        <v>8835</v>
      </c>
      <c r="H12" s="4">
        <f t="shared" si="1"/>
        <v>5.8972733037412808E-2</v>
      </c>
      <c r="I12" s="1"/>
      <c r="J12" s="1"/>
    </row>
    <row r="13" spans="1:10" x14ac:dyDescent="0.3">
      <c r="A13" s="2" t="s">
        <v>18</v>
      </c>
      <c r="B13" s="2">
        <v>5310</v>
      </c>
      <c r="C13" s="2">
        <v>400</v>
      </c>
      <c r="D13" s="2">
        <v>5000</v>
      </c>
      <c r="E13" s="2">
        <v>3000</v>
      </c>
      <c r="F13" s="2">
        <v>498</v>
      </c>
      <c r="G13" s="2">
        <f t="shared" si="0"/>
        <v>14208</v>
      </c>
      <c r="H13" s="4">
        <f t="shared" si="1"/>
        <v>9.4836965590895439E-2</v>
      </c>
      <c r="I13" s="1"/>
      <c r="J13" s="1"/>
    </row>
    <row r="14" spans="1:10" x14ac:dyDescent="0.3">
      <c r="A14" s="2" t="s">
        <v>19</v>
      </c>
      <c r="B14" s="2">
        <v>4960</v>
      </c>
      <c r="C14" s="2">
        <v>500</v>
      </c>
      <c r="D14" s="2">
        <v>3040</v>
      </c>
      <c r="E14" s="2">
        <v>2040</v>
      </c>
      <c r="F14" s="2">
        <v>481</v>
      </c>
      <c r="G14" s="2">
        <f t="shared" si="0"/>
        <v>11021</v>
      </c>
      <c r="H14" s="4">
        <f t="shared" si="1"/>
        <v>7.3564062343557057E-2</v>
      </c>
      <c r="I14" s="1"/>
      <c r="J14" s="1"/>
    </row>
    <row r="15" spans="1:10" x14ac:dyDescent="0.3">
      <c r="A15" s="2" t="s">
        <v>20</v>
      </c>
      <c r="B15" s="2">
        <v>7000</v>
      </c>
      <c r="C15" s="2">
        <v>401</v>
      </c>
      <c r="D15" s="2">
        <v>4000</v>
      </c>
      <c r="E15" s="2">
        <v>2400</v>
      </c>
      <c r="F15" s="2">
        <v>587</v>
      </c>
      <c r="G15" s="2">
        <f t="shared" si="0"/>
        <v>14388</v>
      </c>
      <c r="H15" s="4">
        <f t="shared" si="1"/>
        <v>9.6038447418482789E-2</v>
      </c>
      <c r="I15" s="1"/>
      <c r="J15" s="1"/>
    </row>
    <row r="16" spans="1:10" x14ac:dyDescent="0.3">
      <c r="A16" s="2" t="s">
        <v>21</v>
      </c>
      <c r="B16" s="2">
        <f>SUM(B4:B15)</f>
        <v>64653</v>
      </c>
      <c r="C16" s="2">
        <f t="shared" ref="C16:F16" si="2">SUM(C4:C15)</f>
        <v>20001</v>
      </c>
      <c r="D16" s="2">
        <f t="shared" si="2"/>
        <v>19040</v>
      </c>
      <c r="E16" s="2">
        <f t="shared" si="2"/>
        <v>40660</v>
      </c>
      <c r="F16" s="2">
        <f t="shared" si="2"/>
        <v>5461</v>
      </c>
      <c r="G16" s="2">
        <f t="shared" si="0"/>
        <v>149815</v>
      </c>
      <c r="H16" s="4">
        <f t="shared" si="1"/>
        <v>1</v>
      </c>
      <c r="I16" s="1"/>
      <c r="J16" s="1"/>
    </row>
    <row r="17" spans="1:10" x14ac:dyDescent="0.3">
      <c r="A17" s="2" t="s">
        <v>7</v>
      </c>
      <c r="B17" s="4">
        <f>B16/$G$16</f>
        <v>0.43155224777225243</v>
      </c>
      <c r="C17" s="4">
        <f t="shared" ref="C17:F17" si="3">C16/$G$16</f>
        <v>0.1335046557420819</v>
      </c>
      <c r="D17" s="4">
        <f t="shared" si="3"/>
        <v>0.12709007776257383</v>
      </c>
      <c r="E17" s="4">
        <f t="shared" si="3"/>
        <v>0.27140139505389982</v>
      </c>
      <c r="F17" s="4">
        <f t="shared" si="3"/>
        <v>3.6451623669192003E-2</v>
      </c>
      <c r="G17" s="4">
        <f>G16/$G$16</f>
        <v>1</v>
      </c>
      <c r="H17" s="2"/>
      <c r="I17" s="1"/>
      <c r="J17" s="1"/>
    </row>
    <row r="18" spans="1:10" x14ac:dyDescent="0.3">
      <c r="A18" s="1"/>
      <c r="B18" s="1"/>
      <c r="C18" s="1"/>
      <c r="D18" s="1"/>
      <c r="E18" s="1"/>
      <c r="F18" s="1"/>
      <c r="G18" s="1"/>
      <c r="H18" s="1"/>
      <c r="I18" s="1"/>
    </row>
  </sheetData>
  <mergeCells count="3">
    <mergeCell ref="A1:H1"/>
    <mergeCell ref="A2:A3"/>
    <mergeCell ref="B2:H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19"/>
  <sheetViews>
    <sheetView tabSelected="1" workbookViewId="0">
      <selection activeCell="G9" sqref="G9"/>
    </sheetView>
  </sheetViews>
  <sheetFormatPr defaultRowHeight="14.4" x14ac:dyDescent="0.3"/>
  <cols>
    <col min="3" max="3" width="10.44140625" customWidth="1"/>
    <col min="4" max="4" width="18.44140625" customWidth="1"/>
    <col min="5" max="5" width="34.6640625" customWidth="1"/>
  </cols>
  <sheetData>
    <row r="1" spans="1:4" x14ac:dyDescent="0.3">
      <c r="A1" s="8" t="s">
        <v>28</v>
      </c>
      <c r="B1" s="8"/>
      <c r="C1" s="8"/>
      <c r="D1" s="8"/>
    </row>
    <row r="2" spans="1:4" x14ac:dyDescent="0.3">
      <c r="A2" s="9" t="s">
        <v>30</v>
      </c>
      <c r="B2" s="9"/>
      <c r="C2" s="9"/>
      <c r="D2" s="9"/>
    </row>
    <row r="3" spans="1:4" x14ac:dyDescent="0.3">
      <c r="A3" s="3" t="s">
        <v>29</v>
      </c>
      <c r="B3" s="3" t="s">
        <v>31</v>
      </c>
      <c r="C3" s="3" t="s">
        <v>32</v>
      </c>
      <c r="D3" s="3" t="s">
        <v>33</v>
      </c>
    </row>
    <row r="4" spans="1:4" x14ac:dyDescent="0.3">
      <c r="A4" s="3" t="s">
        <v>34</v>
      </c>
      <c r="B4" s="3">
        <f>Доходы!G4</f>
        <v>20073</v>
      </c>
      <c r="C4" s="3">
        <f>Расходы!G4</f>
        <v>14300</v>
      </c>
      <c r="D4" s="3">
        <f>B4-C4</f>
        <v>5773</v>
      </c>
    </row>
    <row r="5" spans="1:4" x14ac:dyDescent="0.3">
      <c r="A5" s="3" t="s">
        <v>35</v>
      </c>
      <c r="B5" s="3">
        <f>Доходы!G5</f>
        <v>17800</v>
      </c>
      <c r="C5" s="3">
        <f>Расходы!G5</f>
        <v>15240</v>
      </c>
      <c r="D5" s="3">
        <f t="shared" ref="D5:D16" si="0">B5-C5</f>
        <v>2560</v>
      </c>
    </row>
    <row r="6" spans="1:4" x14ac:dyDescent="0.3">
      <c r="A6" s="3" t="s">
        <v>36</v>
      </c>
      <c r="B6" s="3">
        <f>Доходы!G6</f>
        <v>19900</v>
      </c>
      <c r="C6" s="3">
        <f>Расходы!G6</f>
        <v>9410</v>
      </c>
      <c r="D6" s="3">
        <f t="shared" si="0"/>
        <v>10490</v>
      </c>
    </row>
    <row r="7" spans="1:4" x14ac:dyDescent="0.3">
      <c r="A7" s="3" t="s">
        <v>37</v>
      </c>
      <c r="B7" s="3">
        <f>Доходы!G7</f>
        <v>21710</v>
      </c>
      <c r="C7" s="3">
        <f>Расходы!G7</f>
        <v>11520</v>
      </c>
      <c r="D7" s="3">
        <f t="shared" si="0"/>
        <v>10190</v>
      </c>
    </row>
    <row r="8" spans="1:4" x14ac:dyDescent="0.3">
      <c r="A8" s="3" t="s">
        <v>38</v>
      </c>
      <c r="B8" s="3">
        <f>Доходы!G8</f>
        <v>22030</v>
      </c>
      <c r="C8" s="3">
        <f>Расходы!G8</f>
        <v>15280</v>
      </c>
      <c r="D8" s="3">
        <f t="shared" si="0"/>
        <v>6750</v>
      </c>
    </row>
    <row r="9" spans="1:4" x14ac:dyDescent="0.3">
      <c r="A9" s="3" t="s">
        <v>39</v>
      </c>
      <c r="B9" s="3">
        <f>Доходы!G9</f>
        <v>19604</v>
      </c>
      <c r="C9" s="3">
        <f>Расходы!G9</f>
        <v>13261</v>
      </c>
      <c r="D9" s="3">
        <f t="shared" si="0"/>
        <v>6343</v>
      </c>
    </row>
    <row r="10" spans="1:4" x14ac:dyDescent="0.3">
      <c r="A10" s="3" t="s">
        <v>40</v>
      </c>
      <c r="B10" s="3">
        <f>Доходы!G10</f>
        <v>16801</v>
      </c>
      <c r="C10" s="3">
        <f>Расходы!G10</f>
        <v>14970</v>
      </c>
      <c r="D10" s="3">
        <f t="shared" si="0"/>
        <v>1831</v>
      </c>
    </row>
    <row r="11" spans="1:4" x14ac:dyDescent="0.3">
      <c r="A11" s="3" t="s">
        <v>41</v>
      </c>
      <c r="B11" s="3">
        <f>Доходы!G11</f>
        <v>16921</v>
      </c>
      <c r="C11" s="3">
        <f>Расходы!G11</f>
        <v>7382</v>
      </c>
      <c r="D11" s="3">
        <f t="shared" si="0"/>
        <v>9539</v>
      </c>
    </row>
    <row r="12" spans="1:4" x14ac:dyDescent="0.3">
      <c r="A12" s="3" t="s">
        <v>42</v>
      </c>
      <c r="B12" s="3">
        <f>Доходы!G12</f>
        <v>20700</v>
      </c>
      <c r="C12" s="3">
        <f>Расходы!G12</f>
        <v>8835</v>
      </c>
      <c r="D12" s="3">
        <f t="shared" si="0"/>
        <v>11865</v>
      </c>
    </row>
    <row r="13" spans="1:4" x14ac:dyDescent="0.3">
      <c r="A13" s="3" t="s">
        <v>43</v>
      </c>
      <c r="B13" s="3">
        <f>Доходы!G13</f>
        <v>20500</v>
      </c>
      <c r="C13" s="3">
        <f>Расходы!G13</f>
        <v>14208</v>
      </c>
      <c r="D13" s="3">
        <f t="shared" si="0"/>
        <v>6292</v>
      </c>
    </row>
    <row r="14" spans="1:4" x14ac:dyDescent="0.3">
      <c r="A14" s="3" t="s">
        <v>44</v>
      </c>
      <c r="B14" s="3">
        <f>Доходы!G14</f>
        <v>17550</v>
      </c>
      <c r="C14" s="3">
        <f>Расходы!G14</f>
        <v>11021</v>
      </c>
      <c r="D14" s="3">
        <f t="shared" si="0"/>
        <v>6529</v>
      </c>
    </row>
    <row r="15" spans="1:4" x14ac:dyDescent="0.3">
      <c r="A15" s="3" t="s">
        <v>45</v>
      </c>
      <c r="B15" s="3">
        <f>Доходы!G15</f>
        <v>20500</v>
      </c>
      <c r="C15" s="3">
        <f>Расходы!G15</f>
        <v>14388</v>
      </c>
      <c r="D15" s="3">
        <f t="shared" si="0"/>
        <v>6112</v>
      </c>
    </row>
    <row r="16" spans="1:4" x14ac:dyDescent="0.3">
      <c r="A16" s="3" t="s">
        <v>21</v>
      </c>
      <c r="B16" s="3">
        <f>Доходы!G16</f>
        <v>234089</v>
      </c>
      <c r="C16" s="3">
        <f>Расходы!G16</f>
        <v>149815</v>
      </c>
      <c r="D16" s="3">
        <f t="shared" si="0"/>
        <v>84274</v>
      </c>
    </row>
    <row r="17" spans="1:5" ht="15" thickBot="1" x14ac:dyDescent="0.35"/>
    <row r="18" spans="1:5" x14ac:dyDescent="0.3">
      <c r="A18" s="10" t="s">
        <v>46</v>
      </c>
      <c r="B18" s="11"/>
      <c r="C18" s="11"/>
      <c r="D18" s="12"/>
      <c r="E18" s="5" t="str">
        <f>IF(D16&gt;0,"Экономно вел хозяйство, молодец!", "Плохо
организовал ведение личного хозяйства, нужно экономить!")</f>
        <v>Экономно вел хозяйство, молодец!</v>
      </c>
    </row>
    <row r="19" spans="1:5" ht="15" thickBot="1" x14ac:dyDescent="0.35">
      <c r="A19" s="13" t="s">
        <v>47</v>
      </c>
      <c r="B19" s="14"/>
      <c r="C19" s="14"/>
      <c r="D19" s="15"/>
      <c r="E19" s="6" t="str" cm="1">
        <f t="array" ref="E19">select_v(D16)</f>
        <v>Положу в банк</v>
      </c>
    </row>
  </sheetData>
  <mergeCells count="4">
    <mergeCell ref="A1:D1"/>
    <mergeCell ref="A2:D2"/>
    <mergeCell ref="A18:D18"/>
    <mergeCell ref="A19:D1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Доходы</vt:lpstr>
      <vt:lpstr>Расходы</vt:lpstr>
      <vt:lpstr>Анализ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2022-01-12T02:43:30Z</dcterms:modified>
</cp:coreProperties>
</file>